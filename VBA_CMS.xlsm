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a205212e66c4ff3/Documents/Sem2/vba/"/>
    </mc:Choice>
  </mc:AlternateContent>
  <xr:revisionPtr revIDLastSave="186" documentId="8_{92B11B30-0DC8-4CAC-8845-F3F3455F4D2B}" xr6:coauthVersionLast="47" xr6:coauthVersionMax="47" xr10:uidLastSave="{14DE3C3B-6F5C-4D74-A7AD-AFE44F8B8265}"/>
  <bookViews>
    <workbookView xWindow="-108" yWindow="-108" windowWidth="23256" windowHeight="12456" activeTab="3" xr2:uid="{2FCA299A-A7EE-44D2-967C-63C9F50F33A5}"/>
  </bookViews>
  <sheets>
    <sheet name="Dashboard" sheetId="4" r:id="rId1"/>
    <sheet name="User" sheetId="2" r:id="rId2"/>
    <sheet name="Item" sheetId="3" r:id="rId3"/>
    <sheet name="Combine" sheetId="7" r:id="rId4"/>
    <sheet name="PivotSheet1" sheetId="10" r:id="rId5"/>
  </sheets>
  <calcPr calcId="191029"/>
  <pivotCaches>
    <pivotCache cacheId="2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4" i="7" l="1" a="1"/>
  <c r="E24" i="7" s="1"/>
  <c r="F24" i="7" a="1"/>
  <c r="F24" i="7" s="1"/>
  <c r="G24" i="7" a="1"/>
  <c r="G24" i="7" s="1"/>
  <c r="H24" i="7" a="1"/>
  <c r="H24" i="7"/>
  <c r="I24" i="7" a="1"/>
  <c r="I24" i="7" s="1"/>
  <c r="J24" i="7" a="1"/>
  <c r="J24" i="7" s="1"/>
  <c r="K24" i="7" a="1"/>
  <c r="K24" i="7"/>
  <c r="L24" i="7" a="1"/>
  <c r="L24" i="7" s="1"/>
  <c r="E23" i="7" a="1"/>
  <c r="E23" i="7" s="1"/>
  <c r="F23" i="7" a="1"/>
  <c r="F23" i="7" s="1"/>
  <c r="G23" i="7" a="1"/>
  <c r="G23" i="7" s="1"/>
  <c r="H23" i="7" a="1"/>
  <c r="H23" i="7" s="1"/>
  <c r="I23" i="7" a="1"/>
  <c r="I23" i="7" s="1"/>
  <c r="J23" i="7" a="1"/>
  <c r="J23" i="7" s="1"/>
  <c r="K23" i="7" a="1"/>
  <c r="K23" i="7" s="1"/>
  <c r="L23" i="7" a="1"/>
  <c r="L23" i="7" s="1"/>
  <c r="E15" i="7" a="1"/>
  <c r="E15" i="7" s="1"/>
  <c r="E22" i="7" a="1"/>
  <c r="E22" i="7" s="1"/>
  <c r="F22" i="7" a="1"/>
  <c r="F22" i="7" s="1"/>
  <c r="G22" i="7" a="1"/>
  <c r="G22" i="7" s="1"/>
  <c r="H22" i="7" a="1"/>
  <c r="H22" i="7" s="1"/>
  <c r="I22" i="7" a="1"/>
  <c r="I22" i="7" s="1"/>
  <c r="J22" i="7" a="1"/>
  <c r="J22" i="7" s="1"/>
  <c r="K22" i="7" a="1"/>
  <c r="K22" i="7" s="1"/>
  <c r="L22" i="7" a="1"/>
  <c r="L22" i="7" s="1"/>
  <c r="E21" i="7" a="1"/>
  <c r="E21" i="7" s="1"/>
  <c r="F21" i="7" a="1"/>
  <c r="F21" i="7" s="1"/>
  <c r="G21" i="7" a="1"/>
  <c r="G21" i="7" s="1"/>
  <c r="H21" i="7" a="1"/>
  <c r="H21" i="7" s="1"/>
  <c r="I21" i="7" a="1"/>
  <c r="I21" i="7" s="1"/>
  <c r="J21" i="7" a="1"/>
  <c r="J21" i="7" s="1"/>
  <c r="K21" i="7" a="1"/>
  <c r="K21" i="7" s="1"/>
  <c r="L21" i="7" a="1"/>
  <c r="L21" i="7" s="1"/>
  <c r="E20" i="7" a="1"/>
  <c r="E20" i="7" s="1"/>
  <c r="F20" i="7" a="1"/>
  <c r="F20" i="7" s="1"/>
  <c r="G20" i="7" a="1"/>
  <c r="G20" i="7" s="1"/>
  <c r="H20" i="7" a="1"/>
  <c r="H20" i="7" s="1"/>
  <c r="I20" i="7" a="1"/>
  <c r="I20" i="7" s="1"/>
  <c r="J20" i="7" a="1"/>
  <c r="J20" i="7" s="1"/>
  <c r="K20" i="7" a="1"/>
  <c r="K20" i="7" s="1"/>
  <c r="L20" i="7" a="1"/>
  <c r="L20" i="7" s="1"/>
  <c r="E19" i="7" a="1"/>
  <c r="E19" i="7" s="1"/>
  <c r="F19" i="7" a="1"/>
  <c r="F19" i="7" s="1"/>
  <c r="G19" i="7" a="1"/>
  <c r="G19" i="7" s="1"/>
  <c r="H19" i="7" a="1"/>
  <c r="H19" i="7" s="1"/>
  <c r="I19" i="7" a="1"/>
  <c r="I19" i="7" s="1"/>
  <c r="J19" i="7" a="1"/>
  <c r="J19" i="7" s="1"/>
  <c r="K19" i="7" a="1"/>
  <c r="K19" i="7" s="1"/>
  <c r="L19" i="7" a="1"/>
  <c r="L19" i="7" s="1"/>
  <c r="E18" i="7" a="1"/>
  <c r="E18" i="7" s="1"/>
  <c r="F18" i="7" a="1"/>
  <c r="F18" i="7" s="1"/>
  <c r="G18" i="7" a="1"/>
  <c r="G18" i="7" s="1"/>
  <c r="H18" i="7" a="1"/>
  <c r="H18" i="7" s="1"/>
  <c r="I18" i="7" a="1"/>
  <c r="I18" i="7" s="1"/>
  <c r="J18" i="7" a="1"/>
  <c r="J18" i="7" s="1"/>
  <c r="K18" i="7" a="1"/>
  <c r="K18" i="7" s="1"/>
  <c r="L18" i="7" a="1"/>
  <c r="L18" i="7" s="1"/>
  <c r="E17" i="7" a="1"/>
  <c r="E17" i="7" s="1"/>
  <c r="F17" i="7" a="1"/>
  <c r="F17" i="7" s="1"/>
  <c r="G17" i="7" a="1"/>
  <c r="G17" i="7" s="1"/>
  <c r="H17" i="7" a="1"/>
  <c r="H17" i="7" s="1"/>
  <c r="I17" i="7" a="1"/>
  <c r="I17" i="7" s="1"/>
  <c r="J17" i="7" a="1"/>
  <c r="J17" i="7" s="1"/>
  <c r="K17" i="7" a="1"/>
  <c r="K17" i="7" s="1"/>
  <c r="L17" i="7" a="1"/>
  <c r="L17" i="7" s="1"/>
  <c r="E16" i="7" a="1"/>
  <c r="E16" i="7" s="1"/>
  <c r="F16" i="7" a="1"/>
  <c r="F16" i="7" s="1"/>
  <c r="G16" i="7" a="1"/>
  <c r="G16" i="7" s="1"/>
  <c r="H16" i="7" a="1"/>
  <c r="H16" i="7" s="1"/>
  <c r="I16" i="7" a="1"/>
  <c r="I16" i="7" s="1"/>
  <c r="J16" i="7" a="1"/>
  <c r="J16" i="7" s="1"/>
  <c r="K16" i="7" a="1"/>
  <c r="K16" i="7" s="1"/>
  <c r="L16" i="7" a="1"/>
  <c r="L16" i="7" s="1"/>
  <c r="F15" i="7" a="1"/>
  <c r="F15" i="7" s="1"/>
  <c r="G15" i="7" a="1"/>
  <c r="G15" i="7" s="1"/>
  <c r="H15" i="7" a="1"/>
  <c r="H15" i="7" s="1"/>
  <c r="I15" i="7" a="1"/>
  <c r="I15" i="7" s="1"/>
  <c r="J15" i="7" a="1"/>
  <c r="J15" i="7" s="1"/>
  <c r="K15" i="7" a="1"/>
  <c r="K15" i="7" s="1"/>
  <c r="L15" i="7" a="1"/>
  <c r="L15" i="7" s="1"/>
  <c r="E14" i="7" a="1"/>
  <c r="E14" i="7" s="1"/>
  <c r="F14" i="7" a="1"/>
  <c r="F14" i="7" s="1"/>
  <c r="G14" i="7" a="1"/>
  <c r="G14" i="7" s="1"/>
  <c r="H14" i="7" a="1"/>
  <c r="H14" i="7" s="1"/>
  <c r="I14" i="7" a="1"/>
  <c r="I14" i="7" s="1"/>
  <c r="J14" i="7" a="1"/>
  <c r="J14" i="7" s="1"/>
  <c r="K14" i="7" a="1"/>
  <c r="K14" i="7" s="1"/>
  <c r="L14" i="7" a="1"/>
  <c r="L14" i="7" s="1"/>
  <c r="E13" i="7" a="1"/>
  <c r="E13" i="7" s="1"/>
  <c r="F13" i="7" a="1"/>
  <c r="F13" i="7" s="1"/>
  <c r="G13" i="7" a="1"/>
  <c r="G13" i="7" s="1"/>
  <c r="H13" i="7" a="1"/>
  <c r="H13" i="7" s="1"/>
  <c r="I13" i="7" a="1"/>
  <c r="I13" i="7" s="1"/>
  <c r="J13" i="7" a="1"/>
  <c r="J13" i="7" s="1"/>
  <c r="K13" i="7" a="1"/>
  <c r="K13" i="7" s="1"/>
  <c r="L13" i="7" a="1"/>
  <c r="L13" i="7" s="1"/>
  <c r="E12" i="7" a="1"/>
  <c r="E12" i="7" s="1"/>
  <c r="F12" i="7" a="1"/>
  <c r="F12" i="7" s="1"/>
  <c r="G12" i="7" a="1"/>
  <c r="G12" i="7" s="1"/>
  <c r="H12" i="7" a="1"/>
  <c r="H12" i="7" s="1"/>
  <c r="I12" i="7" a="1"/>
  <c r="I12" i="7" s="1"/>
  <c r="J12" i="7" a="1"/>
  <c r="J12" i="7" s="1"/>
  <c r="K12" i="7" a="1"/>
  <c r="K12" i="7" s="1"/>
  <c r="L12" i="7" a="1"/>
  <c r="L12" i="7" s="1"/>
  <c r="E11" i="7" a="1"/>
  <c r="E11" i="7" s="1"/>
  <c r="F11" i="7" a="1"/>
  <c r="F11" i="7" s="1"/>
  <c r="G11" i="7" a="1"/>
  <c r="G11" i="7" s="1"/>
  <c r="H11" i="7" a="1"/>
  <c r="H11" i="7" s="1"/>
  <c r="I11" i="7" a="1"/>
  <c r="I11" i="7" s="1"/>
  <c r="J11" i="7" a="1"/>
  <c r="J11" i="7" s="1"/>
  <c r="K11" i="7" a="1"/>
  <c r="K11" i="7" s="1"/>
  <c r="L11" i="7" a="1"/>
  <c r="L11" i="7" s="1"/>
  <c r="E10" i="7" a="1"/>
  <c r="E10" i="7" s="1"/>
  <c r="F10" i="7" a="1"/>
  <c r="F10" i="7" s="1"/>
  <c r="G10" i="7" a="1"/>
  <c r="G10" i="7" s="1"/>
  <c r="H10" i="7" a="1"/>
  <c r="H10" i="7" s="1"/>
  <c r="I10" i="7" a="1"/>
  <c r="I10" i="7" s="1"/>
  <c r="J10" i="7" a="1"/>
  <c r="J10" i="7" s="1"/>
  <c r="K10" i="7" a="1"/>
  <c r="K10" i="7" s="1"/>
  <c r="L10" i="7" a="1"/>
  <c r="L10" i="7" s="1"/>
  <c r="E9" i="7" a="1"/>
  <c r="E9" i="7" s="1"/>
  <c r="F9" i="7" a="1"/>
  <c r="F9" i="7" s="1"/>
  <c r="G9" i="7" a="1"/>
  <c r="G9" i="7" s="1"/>
  <c r="H9" i="7" a="1"/>
  <c r="H9" i="7" s="1"/>
  <c r="I9" i="7" a="1"/>
  <c r="I9" i="7" s="1"/>
  <c r="J9" i="7" a="1"/>
  <c r="J9" i="7" s="1"/>
  <c r="K9" i="7" a="1"/>
  <c r="K9" i="7" s="1"/>
  <c r="L9" i="7" a="1"/>
  <c r="L9" i="7" s="1"/>
  <c r="E8" i="7" a="1"/>
  <c r="E8" i="7" s="1"/>
  <c r="F8" i="7" a="1"/>
  <c r="F8" i="7" s="1"/>
  <c r="G8" i="7" a="1"/>
  <c r="G8" i="7" s="1"/>
  <c r="H8" i="7" a="1"/>
  <c r="H8" i="7" s="1"/>
  <c r="I8" i="7" a="1"/>
  <c r="I8" i="7" s="1"/>
  <c r="J8" i="7" a="1"/>
  <c r="J8" i="7" s="1"/>
  <c r="K8" i="7" a="1"/>
  <c r="K8" i="7" s="1"/>
  <c r="L8" i="7" a="1"/>
  <c r="L8" i="7" s="1"/>
  <c r="E7" i="7" a="1"/>
  <c r="E7" i="7" s="1"/>
  <c r="F7" i="7" a="1"/>
  <c r="F7" i="7" s="1"/>
  <c r="G7" i="7" a="1"/>
  <c r="G7" i="7" s="1"/>
  <c r="H7" i="7" a="1"/>
  <c r="H7" i="7" s="1"/>
  <c r="I7" i="7" a="1"/>
  <c r="I7" i="7" s="1"/>
  <c r="J7" i="7" a="1"/>
  <c r="J7" i="7" s="1"/>
  <c r="K7" i="7" a="1"/>
  <c r="K7" i="7" s="1"/>
  <c r="L7" i="7" a="1"/>
  <c r="L7" i="7" s="1"/>
  <c r="E6" i="7" a="1"/>
  <c r="E6" i="7" s="1"/>
  <c r="F6" i="7" a="1"/>
  <c r="F6" i="7" s="1"/>
  <c r="G6" i="7" a="1"/>
  <c r="G6" i="7" s="1"/>
  <c r="H6" i="7" a="1"/>
  <c r="H6" i="7" s="1"/>
  <c r="I6" i="7" a="1"/>
  <c r="I6" i="7" s="1"/>
  <c r="J6" i="7" a="1"/>
  <c r="J6" i="7" s="1"/>
  <c r="K6" i="7" a="1"/>
  <c r="K6" i="7" s="1"/>
  <c r="L6" i="7" a="1"/>
  <c r="L6" i="7" s="1"/>
  <c r="E5" i="7" a="1"/>
  <c r="E5" i="7" s="1"/>
  <c r="F5" i="7" a="1"/>
  <c r="F5" i="7" s="1"/>
  <c r="G5" i="7" a="1"/>
  <c r="G5" i="7" s="1"/>
  <c r="H5" i="7" a="1"/>
  <c r="H5" i="7" s="1"/>
  <c r="I5" i="7" a="1"/>
  <c r="I5" i="7" s="1"/>
  <c r="J5" i="7" a="1"/>
  <c r="J5" i="7" s="1"/>
  <c r="K5" i="7" a="1"/>
  <c r="K5" i="7" s="1"/>
  <c r="L5" i="7" a="1"/>
  <c r="L5" i="7" s="1"/>
  <c r="E3" i="7" a="1"/>
  <c r="E3" i="7" s="1"/>
  <c r="F3" i="7" a="1"/>
  <c r="F3" i="7" s="1"/>
  <c r="G3" i="7" a="1"/>
  <c r="G3" i="7" s="1"/>
  <c r="H3" i="7" a="1"/>
  <c r="H3" i="7" s="1"/>
  <c r="I3" i="7" a="1"/>
  <c r="I3" i="7" s="1"/>
  <c r="J3" i="7" a="1"/>
  <c r="J3" i="7" s="1"/>
  <c r="K3" i="7" a="1"/>
  <c r="K3" i="7" s="1"/>
  <c r="L3" i="7" a="1"/>
  <c r="L3" i="7" s="1"/>
  <c r="E4" i="7" a="1"/>
  <c r="E4" i="7" s="1"/>
  <c r="F4" i="7" a="1"/>
  <c r="F4" i="7" s="1"/>
  <c r="G4" i="7" a="1"/>
  <c r="G4" i="7" s="1"/>
  <c r="H4" i="7" a="1"/>
  <c r="H4" i="7" s="1"/>
  <c r="I4" i="7" a="1"/>
  <c r="I4" i="7" s="1"/>
  <c r="J4" i="7" a="1"/>
  <c r="J4" i="7" s="1"/>
  <c r="K4" i="7" a="1"/>
  <c r="K4" i="7" s="1"/>
  <c r="L4" i="7" a="1"/>
  <c r="L4" i="7" s="1"/>
  <c r="F2" i="7" a="1"/>
  <c r="F2" i="7" s="1"/>
  <c r="G2" i="7" a="1"/>
  <c r="G2" i="7" s="1"/>
  <c r="H2" i="7" a="1"/>
  <c r="H2" i="7" s="1"/>
  <c r="I2" i="7" a="1"/>
  <c r="I2" i="7" s="1"/>
  <c r="J2" i="7" a="1"/>
  <c r="J2" i="7" s="1"/>
  <c r="K2" i="7" a="1"/>
  <c r="K2" i="7" s="1"/>
  <c r="L2" i="7" a="1"/>
  <c r="L2" i="7" s="1"/>
  <c r="E2" i="7" a="1"/>
  <c r="E2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<sst xmlns="http://schemas.openxmlformats.org/spreadsheetml/2006/main" count="154" uniqueCount="77">
  <si>
    <t>Name</t>
  </si>
  <si>
    <t>Billno</t>
  </si>
  <si>
    <t>Contact no</t>
  </si>
  <si>
    <t>Email</t>
  </si>
  <si>
    <t>Role</t>
  </si>
  <si>
    <t>Course</t>
  </si>
  <si>
    <t>Year</t>
  </si>
  <si>
    <t>Item</t>
  </si>
  <si>
    <t>Quantity</t>
  </si>
  <si>
    <t>Price</t>
  </si>
  <si>
    <t>Date</t>
  </si>
  <si>
    <t>Amount</t>
  </si>
  <si>
    <t>Name:</t>
  </si>
  <si>
    <t>Email:</t>
  </si>
  <si>
    <t>Number:</t>
  </si>
  <si>
    <t>Date:</t>
  </si>
  <si>
    <t>Row Labels</t>
  </si>
  <si>
    <t>Grand Total</t>
  </si>
  <si>
    <t>(All)</t>
  </si>
  <si>
    <t>Average of Amount</t>
  </si>
  <si>
    <t>Management</t>
  </si>
  <si>
    <t>--</t>
  </si>
  <si>
    <t>24-03-2024</t>
  </si>
  <si>
    <t>Student</t>
  </si>
  <si>
    <t>BSc in Data Science</t>
  </si>
  <si>
    <t>2nd Year</t>
  </si>
  <si>
    <t>VadaPav</t>
  </si>
  <si>
    <t>Veg Thali</t>
  </si>
  <si>
    <t>Tea</t>
  </si>
  <si>
    <t>Naksh</t>
  </si>
  <si>
    <t>jainaksh576@gmail.com</t>
  </si>
  <si>
    <t>1st Year</t>
  </si>
  <si>
    <t>Sabudana Khicdhi</t>
  </si>
  <si>
    <t>Veg Pulav</t>
  </si>
  <si>
    <t>Pavan</t>
  </si>
  <si>
    <t>pavansy@gmail.com</t>
  </si>
  <si>
    <t>BSc in Computer Science</t>
  </si>
  <si>
    <t>Chokie Chokie</t>
  </si>
  <si>
    <t>Jiya</t>
  </si>
  <si>
    <t>jiya123@gmail.com</t>
  </si>
  <si>
    <t>MSc in Physics</t>
  </si>
  <si>
    <t>Second Year</t>
  </si>
  <si>
    <t>Phodnicha Bhaat</t>
  </si>
  <si>
    <t>Mendu Vada</t>
  </si>
  <si>
    <t>Priya</t>
  </si>
  <si>
    <t>priya@gmail.com</t>
  </si>
  <si>
    <t>Faculty</t>
  </si>
  <si>
    <t>Hammed</t>
  </si>
  <si>
    <t>hameed12@gmail.com</t>
  </si>
  <si>
    <t>Chicken Sandwich</t>
  </si>
  <si>
    <t>Omlet Pav</t>
  </si>
  <si>
    <t>Egg Schezwan Fried Rice</t>
  </si>
  <si>
    <t>bobby</t>
  </si>
  <si>
    <t>bobby@gmail.com</t>
  </si>
  <si>
    <t>siraj</t>
  </si>
  <si>
    <t>siraj@gmail.com</t>
  </si>
  <si>
    <t>Staff</t>
  </si>
  <si>
    <t>Egg Maggie</t>
  </si>
  <si>
    <t>dhruvi</t>
  </si>
  <si>
    <t>dhruvi@gmail.com</t>
  </si>
  <si>
    <t>First Year</t>
  </si>
  <si>
    <t>Non - Veg Thali</t>
  </si>
  <si>
    <t>kala</t>
  </si>
  <si>
    <t>kala@gmail.com</t>
  </si>
  <si>
    <t>PG in Data Science</t>
  </si>
  <si>
    <t>Ice Cream</t>
  </si>
  <si>
    <t>khusboo</t>
  </si>
  <si>
    <t>khusboo@gmail.com</t>
  </si>
  <si>
    <t>Soft Drink</t>
  </si>
  <si>
    <t>jainnaksh576@gmail.com</t>
  </si>
  <si>
    <t>Average of Price</t>
  </si>
  <si>
    <t>Values</t>
  </si>
  <si>
    <t>pavan</t>
  </si>
  <si>
    <t>pavan1@gmail.com</t>
  </si>
  <si>
    <t>BSc in Physics</t>
  </si>
  <si>
    <t>27-03-2024</t>
  </si>
  <si>
    <t>Veg Triple Schezwan 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</si>
</sst>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1" xfId="0" applyFill="1" applyBorder="1"/>
    <xf numFmtId="0" fontId="0" fillId="0" borderId="1" xfId="0" applyBorder="1"/>
    <xf numFmtId="0" fontId="1" fillId="3" borderId="0" xfId="0" applyFont="1" applyFill="1"/>
    <xf numFmtId="0" fontId="0" fillId="2" borderId="1" xfId="0" applyFont="1" applyFill="1" applyBorder="1"/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[VBA_CMS.xlsm]PivotSheet1!PivotTable</c:name>
    <c:fmtId val="0"/>
  </c:pivotSource>
  <c:chart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PivotSheet1!$B$7:$B$8</c:f>
              <c:strCache>
                <c:ptCount val="1"/>
                <c:pt idx="0">
                  <c:v>Average of Price</c:v>
                </c:pt>
              </c:strCache>
            </c:strRef>
          </c:tx>
          <c:invertIfNegative val="0"/>
          <c:cat>
            <c:strRef>
              <c:f>PivotSheet1!$A$9:$A$13</c:f>
              <c:strCache>
                <c:ptCount val="4"/>
                <c:pt idx="0">
                  <c:v>Faculty</c:v>
                </c:pt>
                <c:pt idx="1">
                  <c:v>Management</c:v>
                </c:pt>
                <c:pt idx="2">
                  <c:v>Staff</c:v>
                </c:pt>
                <c:pt idx="3">
                  <c:v>Student</c:v>
                </c:pt>
              </c:strCache>
            </c:strRef>
          </c:cat>
          <c:val>
            <c:numRef>
              <c:f>PivotSheet1!$B$9:$B$13</c:f>
              <c:numCache>
                <c:formatCode>General</c:formatCode>
                <c:ptCount val="4"/>
                <c:pt idx="0">
                  <c:v>175</c:v>
                </c:pt>
                <c:pt idx="1">
                  <c:v>49.666666666666664</c:v>
                </c:pt>
                <c:pt idx="2">
                  <c:v>120</c:v>
                </c:pt>
                <c:pt idx="3">
                  <c:v>86.92307692307692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70-449C-B02A-F55F6CC92304}"/>
            </c:ext>
          </c:extLst>
        </c:ser>
        <c:ser>
          <c:idx val="1"/>
          <c:order val="1"/>
          <c:tx>
            <c:strRef>
              <c:f>PivotSheet1!$C$7:$C$8</c:f>
              <c:strCache>
                <c:ptCount val="1"/>
                <c:pt idx="0">
                  <c:v>Average of Amount</c:v>
                </c:pt>
              </c:strCache>
            </c:strRef>
          </c:tx>
          <c:invertIfNegative val="0"/>
          <c:cat>
            <c:strRef>
              <c:f>PivotSheet1!$A$9:$A$13</c:f>
              <c:strCache>
                <c:ptCount val="4"/>
                <c:pt idx="0">
                  <c:v>Faculty</c:v>
                </c:pt>
                <c:pt idx="1">
                  <c:v>Management</c:v>
                </c:pt>
                <c:pt idx="2">
                  <c:v>Staff</c:v>
                </c:pt>
                <c:pt idx="3">
                  <c:v>Student</c:v>
                </c:pt>
              </c:strCache>
            </c:strRef>
          </c:cat>
          <c:val>
            <c:numRef>
              <c:f>PivotSheet1!$C$9:$C$13</c:f>
              <c:numCache>
                <c:formatCode>General</c:formatCode>
                <c:ptCount val="4"/>
                <c:pt idx="0">
                  <c:v>455</c:v>
                </c:pt>
                <c:pt idx="1">
                  <c:v>86</c:v>
                </c:pt>
                <c:pt idx="2">
                  <c:v>120</c:v>
                </c:pt>
                <c:pt idx="3">
                  <c:v>229.23076923076923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70-449C-B02A-F55F6CC92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5034159"/>
        <c:axId val="1615035599"/>
      </c:barChart>
      <c:catAx>
        <c:axId val="1615034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15035599"/>
        <c:crosses val="autoZero"/>
        <c:auto val="1"/>
        <c:lblAlgn val="ctr"/>
        <c:lblOffset val="100"/>
        <c:noMultiLvlLbl val="0"/>
      </c:catAx>
      <c:valAx>
        <c:axId val="161503559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150341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45</xdr:col>
      <xdr:colOff>158150</xdr:colOff>
      <xdr:row>52</xdr:row>
      <xdr:rowOff>28754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240F410-3FF1-3D38-156E-D38746632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7331358" cy="9747848"/>
        </a:xfrm>
        <a:prstGeom prst="rect">
          <a:avLst/>
        </a:prstGeom>
      </xdr:spPr>
    </xdr:pic>
    <xdr:clientData/>
  </xdr:twoCellAnchor>
  <xdr:twoCellAnchor>
    <xdr:from>
      <xdr:col>8</xdr:col>
      <xdr:colOff>158150</xdr:colOff>
      <xdr:row>20</xdr:row>
      <xdr:rowOff>0</xdr:rowOff>
    </xdr:from>
    <xdr:to>
      <xdr:col>15</xdr:col>
      <xdr:colOff>129395</xdr:colOff>
      <xdr:row>30</xdr:row>
      <xdr:rowOff>186904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3E5A30B-534F-7FAD-F77D-9B0BDEC53346}"/>
            </a:ext>
          </a:extLst>
        </xdr:cNvPr>
        <xdr:cNvSpPr/>
      </xdr:nvSpPr>
      <xdr:spPr>
        <a:xfrm>
          <a:off x="4988942" y="3738113"/>
          <a:ext cx="4198189" cy="2055961"/>
        </a:xfrm>
        <a:prstGeom prst="roundRect">
          <a:avLst/>
        </a:prstGeom>
        <a:blipFill dpi="0"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ctr"/>
          <a:endParaRPr lang="en-IN" sz="8800" b="1"/>
        </a:p>
      </xdr:txBody>
    </xdr:sp>
    <xdr:clientData/>
  </xdr:twoCellAnchor>
  <xdr:twoCellAnchor editAs="oneCell">
    <xdr:from>
      <xdr:col>5</xdr:col>
      <xdr:colOff>540214</xdr:colOff>
      <xdr:row>18</xdr:row>
      <xdr:rowOff>43132</xdr:rowOff>
    </xdr:from>
    <xdr:to>
      <xdr:col>17</xdr:col>
      <xdr:colOff>446196</xdr:colOff>
      <xdr:row>31</xdr:row>
      <xdr:rowOff>129397</xdr:rowOff>
    </xdr:to>
    <xdr:pic macro="[0]!callorder">
      <xdr:nvPicPr>
        <xdr:cNvPr id="13" name="Picture 12">
          <a:extLst>
            <a:ext uri="{FF2B5EF4-FFF2-40B4-BE49-F238E27FC236}">
              <a16:creationId xmlns:a16="http://schemas.microsoft.com/office/drawing/2014/main" id="{7671905D-A2C4-4544-4AB5-B741BE9F7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0000" b="90000" l="10000" r="90000">
                      <a14:foregroundMark x1="27174" y1="38154" x2="27174" y2="38154"/>
                      <a14:foregroundMark x1="34565" y1="42462" x2="34565" y2="42462"/>
                      <a14:foregroundMark x1="44946" y1="45538" x2="44946" y2="45538"/>
                      <a14:foregroundMark x1="54565" y1="58154" x2="54565" y2="58154"/>
                      <a14:foregroundMark x1="64185" y1="51846" x2="64185" y2="51846"/>
                      <a14:backgroundMark x1="30163" y1="52923" x2="30163" y2="52923"/>
                      <a14:backgroundMark x1="38478" y1="44462" x2="38478" y2="44462"/>
                      <a14:backgroundMark x1="47554" y1="50769" x2="47554" y2="50769"/>
                      <a14:backgroundMark x1="48641" y1="56615" x2="48641" y2="56615"/>
                      <a14:backgroundMark x1="59402" y1="48769" x2="59402" y2="48769"/>
                      <a14:backgroundMark x1="29620" y1="57077" x2="29620" y2="57077"/>
                      <a14:backgroundMark x1="67500" y1="47692" x2="67500" y2="47692"/>
                      <a14:backgroundMark x1="67337" y1="45077" x2="67337" y2="4507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9459" y="3407434"/>
          <a:ext cx="7152171" cy="2516038"/>
        </a:xfrm>
        <a:prstGeom prst="rect">
          <a:avLst/>
        </a:prstGeom>
      </xdr:spPr>
    </xdr:pic>
    <xdr:clientData/>
  </xdr:twoCellAnchor>
  <xdr:twoCellAnchor>
    <xdr:from>
      <xdr:col>27</xdr:col>
      <xdr:colOff>244415</xdr:colOff>
      <xdr:row>20</xdr:row>
      <xdr:rowOff>28754</xdr:rowOff>
    </xdr:from>
    <xdr:to>
      <xdr:col>34</xdr:col>
      <xdr:colOff>215661</xdr:colOff>
      <xdr:row>31</xdr:row>
      <xdr:rowOff>21133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E821F82B-4430-4F5D-B960-F743E1AD862C}"/>
            </a:ext>
          </a:extLst>
        </xdr:cNvPr>
        <xdr:cNvSpPr/>
      </xdr:nvSpPr>
      <xdr:spPr>
        <a:xfrm>
          <a:off x="16548340" y="3766867"/>
          <a:ext cx="4198189" cy="2048341"/>
        </a:xfrm>
        <a:prstGeom prst="roundRect">
          <a:avLst/>
        </a:prstGeom>
        <a:blipFill dpi="0"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ctr"/>
          <a:endParaRPr lang="en-IN" sz="8800" b="1"/>
        </a:p>
      </xdr:txBody>
    </xdr:sp>
    <xdr:clientData/>
  </xdr:twoCellAnchor>
  <xdr:twoCellAnchor editAs="oneCell">
    <xdr:from>
      <xdr:col>26</xdr:col>
      <xdr:colOff>143774</xdr:colOff>
      <xdr:row>19</xdr:row>
      <xdr:rowOff>138536</xdr:rowOff>
    </xdr:from>
    <xdr:to>
      <xdr:col>35</xdr:col>
      <xdr:colOff>543913</xdr:colOff>
      <xdr:row>30</xdr:row>
      <xdr:rowOff>143773</xdr:rowOff>
    </xdr:to>
    <xdr:pic macro="[0]!callreport">
      <xdr:nvPicPr>
        <xdr:cNvPr id="16" name="Picture 15">
          <a:extLst>
            <a:ext uri="{FF2B5EF4-FFF2-40B4-BE49-F238E27FC236}">
              <a16:creationId xmlns:a16="http://schemas.microsoft.com/office/drawing/2014/main" id="{1CEF0881-648F-ECBE-54D2-6F6CE8D9F0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10000" b="90000" l="10000" r="90000">
                      <a14:foregroundMark x1="21087" y1="59231" x2="21087" y2="59231"/>
                      <a14:foregroundMark x1="50326" y1="37231" x2="50326" y2="37231"/>
                      <a14:foregroundMark x1="59565" y1="35077" x2="59565" y2="35077"/>
                      <a14:foregroundMark x1="68098" y1="36154" x2="68098" y2="36154"/>
                      <a14:foregroundMark x1="75652" y1="38769" x2="75652" y2="38769"/>
                      <a14:foregroundMark x1="27391" y1="58154" x2="27391" y2="58154"/>
                      <a14:foregroundMark x1="37554" y1="36154" x2="37554" y2="36154"/>
                      <a14:backgroundMark x1="19239" y1="40769" x2="19239" y2="40769"/>
                      <a14:backgroundMark x1="33098" y1="39231" x2="33098" y2="39231"/>
                      <a14:backgroundMark x1="48641" y1="46615" x2="48641" y2="46615"/>
                      <a14:backgroundMark x1="56793" y1="40769" x2="56793" y2="40769"/>
                      <a14:backgroundMark x1="41250" y1="45077" x2="41250" y2="45077"/>
                      <a14:backgroundMark x1="39946" y1="45077" x2="39946" y2="45077"/>
                      <a14:backgroundMark x1="34751" y1="57176" x2="34751" y2="57176"/>
                      <a14:backgroundMark x1="19624" y1="41898" x2="19624" y2="41898"/>
                      <a14:backgroundMark x1="48487" y1="57176" x2="48487" y2="57176"/>
                      <a14:backgroundMark x1="57318" y1="46065" x2="57318" y2="46065"/>
                      <a14:backgroundMark x1="47751" y1="53472" x2="47751" y2="53472"/>
                      <a14:backgroundMark x1="33161" y1="55230" x2="33161" y2="5523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3849" y="3689744"/>
          <a:ext cx="5834781" cy="20611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127000</xdr:rowOff>
    </xdr:from>
    <xdr:to>
      <xdr:col>4</xdr:col>
      <xdr:colOff>944880</xdr:colOff>
      <xdr:row>29</xdr:row>
      <xdr:rowOff>58420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61DAF8C-DD91-90B9-C2E9-DAF3082FD6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inn" refreshedDate="45375.838856481481" createdVersion="3" refreshedVersion="8" minRefreshableVersion="3" recordCount="21" xr:uid="{42C7079D-529C-4F51-AE67-A70F47145FF8}">
  <cacheSource type="worksheet">
    <worksheetSource ref="A1:L24" sheet="Combine"/>
  </cacheSource>
  <cacheFields count="12">
    <cacheField name="Billno" numFmtId="0">
      <sharedItems containsSemiMixedTypes="0" containsString="0" containsNumber="1" containsInteger="1" minValue="28630006" maxValue="672650005"/>
    </cacheField>
    <cacheField name="Item" numFmtId="0">
      <sharedItems count="15">
        <s v="VadaPav"/>
        <s v="Sabudana Khicdhi"/>
        <s v="Veg Pulav"/>
        <s v="Veg Thali"/>
        <s v="Chokie Chokie"/>
        <s v="Tea"/>
        <s v="Phodnicha Bhaat"/>
        <s v="Mendu Vada"/>
        <s v="Chicken Sandwich"/>
        <s v="Omlet Pav"/>
        <s v="Egg Schezwan Fried Rice"/>
        <s v="Egg Maggie"/>
        <s v="Non - Veg Thali"/>
        <s v="Ice Cream"/>
        <s v="Soft Drink"/>
      </sharedItems>
    </cacheField>
    <cacheField name="Quantity" numFmtId="0">
      <sharedItems containsSemiMixedTypes="0" containsString="0" containsNumber="1" containsInteger="1" minValue="1" maxValue="5"/>
    </cacheField>
    <cacheField name="Price" numFmtId="0">
      <sharedItems containsSemiMixedTypes="0" containsString="0" containsNumber="1" containsInteger="1" minValue="4" maxValue="420"/>
    </cacheField>
    <cacheField name="Name" numFmtId="0">
      <sharedItems/>
    </cacheField>
    <cacheField name="Contact no" numFmtId="0">
      <sharedItems containsSemiMixedTypes="0" containsString="0" containsNumber="1" containsInteger="1" minValue="9111902863" maxValue="9920756372"/>
    </cacheField>
    <cacheField name="Email" numFmtId="0">
      <sharedItems/>
    </cacheField>
    <cacheField name="Role" numFmtId="0">
      <sharedItems count="4">
        <s v="Student"/>
        <s v="Faculty"/>
        <s v="Management"/>
        <s v="Staff"/>
      </sharedItems>
    </cacheField>
    <cacheField name="Course" numFmtId="0">
      <sharedItems/>
    </cacheField>
    <cacheField name="Year" numFmtId="0">
      <sharedItems/>
    </cacheField>
    <cacheField name="Date" numFmtId="0">
      <sharedItems/>
    </cacheField>
    <cacheField name="Amount" numFmtId="0">
      <sharedItems containsSemiMixedTypes="0" containsString="0" containsNumber="1" containsInteger="1" minValue="40" maxValue="5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n v="563720001"/>
    <x v="0"/>
    <n v="1"/>
    <n v="16"/>
    <s v="Naksh"/>
    <n v="9920756372"/>
    <s v="jainaksh576@gmail.com"/>
    <x v="0"/>
    <s v="BSc in Data Science"/>
    <s v="1st Year"/>
    <s v="24-03-2024"/>
    <n v="336"/>
  </r>
  <r>
    <n v="563720001"/>
    <x v="1"/>
    <n v="3"/>
    <n v="180"/>
    <s v="Naksh"/>
    <n v="9920756372"/>
    <s v="jainaksh576@gmail.com"/>
    <x v="0"/>
    <s v="BSc in Data Science"/>
    <s v="1st Year"/>
    <s v="24-03-2024"/>
    <n v="336"/>
  </r>
  <r>
    <n v="563720001"/>
    <x v="2"/>
    <n v="2"/>
    <n v="140"/>
    <s v="Naksh"/>
    <n v="9920756372"/>
    <s v="jainaksh576@gmail.com"/>
    <x v="0"/>
    <s v="BSc in Data Science"/>
    <s v="1st Year"/>
    <s v="24-03-2024"/>
    <n v="336"/>
  </r>
  <r>
    <n v="563330002"/>
    <x v="3"/>
    <n v="1"/>
    <n v="80"/>
    <s v="Pavan"/>
    <n v="9920756333"/>
    <s v="pavansy@gmail.com"/>
    <x v="0"/>
    <s v="BSc in Computer Science"/>
    <s v="2nd Year"/>
    <s v="24-03-2024"/>
    <n v="94"/>
  </r>
  <r>
    <n v="563330002"/>
    <x v="4"/>
    <n v="2"/>
    <n v="4"/>
    <s v="Pavan"/>
    <n v="9920756333"/>
    <s v="pavansy@gmail.com"/>
    <x v="0"/>
    <s v="BSc in Computer Science"/>
    <s v="2nd Year"/>
    <s v="24-03-2024"/>
    <n v="94"/>
  </r>
  <r>
    <n v="563330002"/>
    <x v="5"/>
    <n v="1"/>
    <n v="10"/>
    <s v="Pavan"/>
    <n v="9920756333"/>
    <s v="pavansy@gmail.com"/>
    <x v="0"/>
    <s v="BSc in Computer Science"/>
    <s v="2nd Year"/>
    <s v="24-03-2024"/>
    <n v="94"/>
  </r>
  <r>
    <n v="331770003"/>
    <x v="6"/>
    <n v="2"/>
    <n v="120"/>
    <s v="Jiya"/>
    <n v="9892433177"/>
    <s v="jiya123@gmail.com"/>
    <x v="0"/>
    <s v="MSc in Physics"/>
    <s v="Second Year"/>
    <s v="24-03-2024"/>
    <n v="290"/>
  </r>
  <r>
    <n v="331770003"/>
    <x v="7"/>
    <n v="2"/>
    <n v="50"/>
    <s v="Jiya"/>
    <n v="9892433177"/>
    <s v="jiya123@gmail.com"/>
    <x v="0"/>
    <s v="MSc in Physics"/>
    <s v="Second Year"/>
    <s v="24-03-2024"/>
    <n v="290"/>
  </r>
  <r>
    <n v="331770003"/>
    <x v="6"/>
    <n v="2"/>
    <n v="120"/>
    <s v="Jiya"/>
    <n v="9892433177"/>
    <s v="jiya123@gmail.com"/>
    <x v="0"/>
    <s v="MSc in Physics"/>
    <s v="Second Year"/>
    <s v="24-03-2024"/>
    <n v="290"/>
  </r>
  <r>
    <n v="376570004"/>
    <x v="2"/>
    <n v="2"/>
    <n v="140"/>
    <s v="Priya"/>
    <n v="9682737657"/>
    <s v="priya@gmail.com"/>
    <x v="1"/>
    <s v="--"/>
    <s v="--"/>
    <s v="24-03-2024"/>
    <n v="140"/>
  </r>
  <r>
    <n v="672650005"/>
    <x v="8"/>
    <n v="2"/>
    <n v="80"/>
    <s v="Hammed"/>
    <n v="9738467265"/>
    <s v="hameed12@gmail.com"/>
    <x v="1"/>
    <s v="--"/>
    <s v="--"/>
    <s v="24-03-2024"/>
    <n v="560"/>
  </r>
  <r>
    <n v="672650005"/>
    <x v="9"/>
    <n v="2"/>
    <n v="60"/>
    <s v="Hammed"/>
    <n v="9738467265"/>
    <s v="hameed12@gmail.com"/>
    <x v="1"/>
    <s v="--"/>
    <s v="--"/>
    <s v="24-03-2024"/>
    <n v="560"/>
  </r>
  <r>
    <n v="672650005"/>
    <x v="10"/>
    <n v="3"/>
    <n v="420"/>
    <s v="Hammed"/>
    <n v="9738467265"/>
    <s v="hameed12@gmail.com"/>
    <x v="1"/>
    <s v="--"/>
    <s v="--"/>
    <s v="24-03-2024"/>
    <n v="560"/>
  </r>
  <r>
    <n v="28630006"/>
    <x v="8"/>
    <n v="1"/>
    <n v="40"/>
    <s v="bobby"/>
    <n v="9111902863"/>
    <s v="bobby@gmail.com"/>
    <x v="2"/>
    <s v="--"/>
    <s v="--"/>
    <s v="24-03-2024"/>
    <n v="40"/>
  </r>
  <r>
    <n v="578650007"/>
    <x v="11"/>
    <n v="2"/>
    <n v="120"/>
    <s v="siraj"/>
    <n v="9837657865"/>
    <s v="siraj@gmail.com"/>
    <x v="3"/>
    <s v="--"/>
    <s v="--"/>
    <s v="24-03-2024"/>
    <n v="120"/>
  </r>
  <r>
    <n v="657890008"/>
    <x v="3"/>
    <n v="1"/>
    <n v="80"/>
    <s v="dhruvi"/>
    <n v="9127365789"/>
    <s v="dhruvi@gmail.com"/>
    <x v="0"/>
    <s v="MSc in Physics"/>
    <s v="First Year"/>
    <s v="24-03-2024"/>
    <n v="320"/>
  </r>
  <r>
    <n v="657890008"/>
    <x v="12"/>
    <n v="2"/>
    <n v="240"/>
    <s v="dhruvi"/>
    <n v="9127365789"/>
    <s v="dhruvi@gmail.com"/>
    <x v="0"/>
    <s v="MSc in Physics"/>
    <s v="First Year"/>
    <s v="24-03-2024"/>
    <n v="320"/>
  </r>
  <r>
    <n v="546430009"/>
    <x v="13"/>
    <n v="2"/>
    <n v="80"/>
    <s v="kala"/>
    <n v="9878654643"/>
    <s v="kala@gmail.com"/>
    <x v="0"/>
    <s v="PG in Data Science"/>
    <s v="1st Year"/>
    <s v="24-03-2024"/>
    <n v="90"/>
  </r>
  <r>
    <n v="546430009"/>
    <x v="4"/>
    <n v="5"/>
    <n v="10"/>
    <s v="kala"/>
    <n v="9878654643"/>
    <s v="kala@gmail.com"/>
    <x v="0"/>
    <s v="PG in Data Science"/>
    <s v="1st Year"/>
    <s v="24-03-2024"/>
    <n v="90"/>
  </r>
  <r>
    <n v="652730010"/>
    <x v="4"/>
    <n v="2"/>
    <n v="4"/>
    <s v="khusboo"/>
    <n v="9798765273"/>
    <s v="khusboo@gmail.com"/>
    <x v="2"/>
    <s v="--"/>
    <s v="--"/>
    <s v="24-03-2024"/>
    <n v="109"/>
  </r>
  <r>
    <n v="652730010"/>
    <x v="14"/>
    <n v="3"/>
    <n v="105"/>
    <s v="khusboo"/>
    <n v="9798765273"/>
    <s v="khusboo@gmail.com"/>
    <x v="2"/>
    <s v="--"/>
    <s v="--"/>
    <s v="24-03-2024"/>
    <n v="10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BC863F-CEFB-4D45-B7DC-13DD7B850E22}" name="PivotTable" cacheId="2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1">
  <location ref="A7:C13" firstHeaderRow="1" firstDataRow="2" firstDataCol="1" rowPageCount="1" colPageCount="1"/>
  <pivotFields count="12">
    <pivotField showAll="0"/>
    <pivotField axis="axisPage" showAll="0">
      <items count="16">
        <item x="8"/>
        <item x="4"/>
        <item x="11"/>
        <item x="10"/>
        <item x="13"/>
        <item x="7"/>
        <item x="12"/>
        <item x="9"/>
        <item x="6"/>
        <item x="1"/>
        <item x="14"/>
        <item x="5"/>
        <item x="0"/>
        <item x="2"/>
        <item x="3"/>
        <item t="default"/>
      </items>
    </pivotField>
    <pivotField showAll="0"/>
    <pivotField dataField="1" showAll="0"/>
    <pivotField showAll="0"/>
    <pivotField showAll="0"/>
    <pivotField showAll="0"/>
    <pivotField axis="axisRow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dataField="1" showAll="0"/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Average of Price" fld="3" subtotal="average" baseField="0" baseItem="0"/>
    <dataField name="Average of Amount" fld="11" subtotal="average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68400D9-93F2-48A4-B4B8-454D561760D4}" name="Table2" displayName="Table2" ref="A1:D24" totalsRowShown="0">
  <autoFilter ref="A1:D24" xr:uid="{A68400D9-93F2-48A4-B4B8-454D561760D4}"/>
  <tableColumns count="4">
    <tableColumn id="1" xr3:uid="{A4BAB9BD-038D-4A73-B2EF-4AFDEEB5A125}" name="Item"/>
    <tableColumn id="2" xr3:uid="{51AF2674-F145-4286-8ECC-88882084808F}" name="Quantity"/>
    <tableColumn id="3" xr3:uid="{FE22822B-AFEE-43DA-9765-CDDB0F019010}" name="Price"/>
    <tableColumn id="4" xr3:uid="{B3D1B4DD-7EA1-4604-B790-EB070A6827EE}" name="Bill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898DA5-EC96-4646-85BA-4713F41E26E9}" name="Table1" displayName="Table1" ref="A1:L24" totalsRowShown="0" headerRowDxfId="14" dataDxfId="13" tableBorderDxfId="12">
  <autoFilter ref="A1:L24" xr:uid="{55898DA5-EC96-4646-85BA-4713F41E26E9}"/>
  <tableColumns count="12">
    <tableColumn id="1" xr3:uid="{6E76B0A0-0E6A-40A3-8CFF-84AA73A82A01}" name="Billno" dataDxfId="11"/>
    <tableColumn id="2" xr3:uid="{F709413B-E0C9-4E1D-BF9D-72430B7B5834}" name="Item" dataDxfId="10"/>
    <tableColumn id="3" xr3:uid="{6CA01AF3-0BBC-4F53-9B3D-5DB171285D09}" name="Quantity" dataDxfId="9"/>
    <tableColumn id="4" xr3:uid="{F5BEFE26-3B14-4985-A20D-7F2B12B6CCDD}" name="Price" dataDxfId="8"/>
    <tableColumn id="5" xr3:uid="{84FC2A6C-892D-44C3-BEA3-BE592CBD467E}" name="Name" dataDxfId="7">
      <calculatedColumnFormula array="1">VLOOKUP($A2, User!$A:$I, COLUMN(B:B), FALSE)</calculatedColumnFormula>
    </tableColumn>
    <tableColumn id="6" xr3:uid="{0242339F-2EA2-4932-9CA4-3A4CEEFC02F0}" name="Contact no" dataDxfId="6">
      <calculatedColumnFormula array="1">VLOOKUP($A2, User!$A:$I, COLUMN(C:C), FALSE)</calculatedColumnFormula>
    </tableColumn>
    <tableColumn id="7" xr3:uid="{0225AD0B-AA15-45B5-B672-92422904845D}" name="Email" dataDxfId="5">
      <calculatedColumnFormula array="1">VLOOKUP($A2, User!$A:$I, COLUMN(D:D), FALSE)</calculatedColumnFormula>
    </tableColumn>
    <tableColumn id="8" xr3:uid="{2429EBF1-2FDE-4208-867D-1A793A85068B}" name="Role" dataDxfId="4">
      <calculatedColumnFormula array="1">VLOOKUP($A2, User!$A:$I, COLUMN(E:E), FALSE)</calculatedColumnFormula>
    </tableColumn>
    <tableColumn id="9" xr3:uid="{F8F5841E-A54B-4618-9ED8-8480623F0754}" name="Course" dataDxfId="3">
      <calculatedColumnFormula array="1">VLOOKUP($A2, User!$A:$I, COLUMN(F:F), FALSE)</calculatedColumnFormula>
    </tableColumn>
    <tableColumn id="10" xr3:uid="{4017C2E3-6937-4D86-BDE4-B7439AB33B60}" name="Year" dataDxfId="2">
      <calculatedColumnFormula array="1">VLOOKUP($A2, User!$A:$I, COLUMN(G:G), FALSE)</calculatedColumnFormula>
    </tableColumn>
    <tableColumn id="11" xr3:uid="{D13D0049-0107-41B1-B71D-21A334A4C428}" name="Date" dataDxfId="1">
      <calculatedColumnFormula array="1">VLOOKUP($A2, User!$A:$I, COLUMN(H:H), FALSE)</calculatedColumnFormula>
    </tableColumn>
    <tableColumn id="12" xr3:uid="{A92CF93E-555F-41F5-A164-F9AEE9CC571A}" name="Amount" dataDxfId="0">
      <calculatedColumnFormula array="1">VLOOKUP($A2, User!$A:$I, COLUMN(I:I), 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EDBA6-1AA0-4C76-9034-508AF68DECDE}">
  <sheetPr codeName="Sheet3"/>
  <dimension ref="A1"/>
  <sheetViews>
    <sheetView zoomScale="53" workbookViewId="0">
      <selection activeCell="AP12" sqref="AP12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0072A-12F1-4E7C-91D2-3432364688EE}">
  <sheetPr codeName="Sheet2"/>
  <dimension ref="A1:I12"/>
  <sheetViews>
    <sheetView zoomScale="112" workbookViewId="0">
      <selection activeCell="B20" sqref="B20"/>
    </sheetView>
  </sheetViews>
  <sheetFormatPr defaultRowHeight="14.4" x14ac:dyDescent="0.3"/>
  <cols>
    <col min="1" max="1" width="12.21875" bestFit="1" customWidth="1"/>
    <col min="2" max="2" width="23.88671875" customWidth="1"/>
    <col min="3" max="3" width="23.5546875" customWidth="1"/>
    <col min="4" max="4" width="23.6640625" bestFit="1" customWidth="1"/>
    <col min="5" max="5" width="17.109375" customWidth="1"/>
    <col min="6" max="6" width="21.109375" bestFit="1" customWidth="1"/>
    <col min="7" max="7" width="16.77734375" customWidth="1"/>
    <col min="8" max="8" width="17" customWidth="1"/>
    <col min="9" max="9" width="20.44140625" customWidth="1"/>
  </cols>
  <sheetData>
    <row r="1" spans="1:9" x14ac:dyDescent="0.3">
      <c r="A1" t="s">
        <v>1</v>
      </c>
      <c r="B1" t="s">
        <v>0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</row>
    <row r="2" spans="1:9" x14ac:dyDescent="0.3">
      <c r="A2">
        <v>563720001</v>
      </c>
      <c r="B2" t="s">
        <v>29</v>
      </c>
      <c r="C2">
        <v>9920756372</v>
      </c>
      <c r="D2" t="s">
        <v>30</v>
      </c>
      <c r="E2" t="s">
        <v>23</v>
      </c>
      <c r="F2" t="s">
        <v>24</v>
      </c>
      <c r="G2" t="s">
        <v>31</v>
      </c>
      <c r="H2" t="s">
        <v>22</v>
      </c>
      <c r="I2">
        <v>336</v>
      </c>
    </row>
    <row r="3" spans="1:9" x14ac:dyDescent="0.3">
      <c r="A3">
        <v>563330002</v>
      </c>
      <c r="B3" t="s">
        <v>34</v>
      </c>
      <c r="C3">
        <v>9920756333</v>
      </c>
      <c r="D3" t="s">
        <v>35</v>
      </c>
      <c r="E3" t="s">
        <v>23</v>
      </c>
      <c r="F3" t="s">
        <v>36</v>
      </c>
      <c r="G3" t="s">
        <v>25</v>
      </c>
      <c r="H3" t="s">
        <v>22</v>
      </c>
      <c r="I3">
        <v>94</v>
      </c>
    </row>
    <row r="4" spans="1:9" x14ac:dyDescent="0.3">
      <c r="A4">
        <v>331770003</v>
      </c>
      <c r="B4" t="s">
        <v>38</v>
      </c>
      <c r="C4">
        <v>9892433177</v>
      </c>
      <c r="D4" t="s">
        <v>39</v>
      </c>
      <c r="E4" t="s">
        <v>23</v>
      </c>
      <c r="F4" t="s">
        <v>40</v>
      </c>
      <c r="G4" t="s">
        <v>41</v>
      </c>
      <c r="H4" t="s">
        <v>22</v>
      </c>
      <c r="I4">
        <v>290</v>
      </c>
    </row>
    <row r="5" spans="1:9" x14ac:dyDescent="0.3">
      <c r="A5">
        <v>376570004</v>
      </c>
      <c r="B5" t="s">
        <v>44</v>
      </c>
      <c r="C5">
        <v>9682737657</v>
      </c>
      <c r="D5" t="s">
        <v>45</v>
      </c>
      <c r="E5" t="s">
        <v>46</v>
      </c>
      <c r="F5" t="s">
        <v>21</v>
      </c>
      <c r="G5" t="s">
        <v>21</v>
      </c>
      <c r="H5" t="s">
        <v>22</v>
      </c>
      <c r="I5">
        <v>140</v>
      </c>
    </row>
    <row r="6" spans="1:9" x14ac:dyDescent="0.3">
      <c r="A6">
        <v>672650005</v>
      </c>
      <c r="B6" t="s">
        <v>47</v>
      </c>
      <c r="C6">
        <v>9738467265</v>
      </c>
      <c r="D6" t="s">
        <v>48</v>
      </c>
      <c r="E6" t="s">
        <v>46</v>
      </c>
      <c r="F6" t="s">
        <v>21</v>
      </c>
      <c r="G6" t="s">
        <v>21</v>
      </c>
      <c r="H6" t="s">
        <v>22</v>
      </c>
      <c r="I6">
        <v>560</v>
      </c>
    </row>
    <row r="7" spans="1:9" x14ac:dyDescent="0.3">
      <c r="A7">
        <v>528630006</v>
      </c>
      <c r="B7" t="s">
        <v>52</v>
      </c>
      <c r="C7">
        <v>9111902863</v>
      </c>
      <c r="D7" t="s">
        <v>53</v>
      </c>
      <c r="E7" t="s">
        <v>20</v>
      </c>
      <c r="F7" t="s">
        <v>21</v>
      </c>
      <c r="G7" t="s">
        <v>21</v>
      </c>
      <c r="H7" t="s">
        <v>22</v>
      </c>
      <c r="I7">
        <v>40</v>
      </c>
    </row>
    <row r="8" spans="1:9" x14ac:dyDescent="0.3">
      <c r="A8">
        <v>578650007</v>
      </c>
      <c r="B8" t="s">
        <v>54</v>
      </c>
      <c r="C8">
        <v>9837657865</v>
      </c>
      <c r="D8" t="s">
        <v>55</v>
      </c>
      <c r="E8" t="s">
        <v>56</v>
      </c>
      <c r="F8" t="s">
        <v>21</v>
      </c>
      <c r="G8" t="s">
        <v>21</v>
      </c>
      <c r="H8" t="s">
        <v>22</v>
      </c>
      <c r="I8">
        <v>120</v>
      </c>
    </row>
    <row r="9" spans="1:9" x14ac:dyDescent="0.3">
      <c r="A9">
        <v>657890008</v>
      </c>
      <c r="B9" t="s">
        <v>58</v>
      </c>
      <c r="C9">
        <v>9127365789</v>
      </c>
      <c r="D9" t="s">
        <v>59</v>
      </c>
      <c r="E9" t="s">
        <v>23</v>
      </c>
      <c r="F9" t="s">
        <v>40</v>
      </c>
      <c r="G9" t="s">
        <v>60</v>
      </c>
      <c r="H9" t="s">
        <v>22</v>
      </c>
      <c r="I9">
        <v>320</v>
      </c>
    </row>
    <row r="10" spans="1:9" x14ac:dyDescent="0.3">
      <c r="A10">
        <v>546430009</v>
      </c>
      <c r="B10" t="s">
        <v>62</v>
      </c>
      <c r="C10">
        <v>9878654643</v>
      </c>
      <c r="D10" t="s">
        <v>63</v>
      </c>
      <c r="E10" t="s">
        <v>23</v>
      </c>
      <c r="F10" t="s">
        <v>64</v>
      </c>
      <c r="G10" t="s">
        <v>31</v>
      </c>
      <c r="H10" t="s">
        <v>22</v>
      </c>
      <c r="I10">
        <v>90</v>
      </c>
    </row>
    <row r="11" spans="1:9" x14ac:dyDescent="0.3">
      <c r="A11">
        <v>652730010</v>
      </c>
      <c r="B11" t="s">
        <v>66</v>
      </c>
      <c r="C11">
        <v>9798765273</v>
      </c>
      <c r="D11" t="s">
        <v>67</v>
      </c>
      <c r="E11" t="s">
        <v>20</v>
      </c>
      <c r="F11" t="s">
        <v>21</v>
      </c>
      <c r="G11" t="s">
        <v>21</v>
      </c>
      <c r="H11" t="s">
        <v>22</v>
      </c>
      <c r="I11">
        <v>109</v>
      </c>
    </row>
    <row r="12" spans="1:9" x14ac:dyDescent="0.3">
      <c r="A12">
        <v>331770011</v>
      </c>
      <c r="B12" t="s">
        <v>72</v>
      </c>
      <c r="C12">
        <v>9892433177</v>
      </c>
      <c r="D12" t="s">
        <v>73</v>
      </c>
      <c r="E12" t="s">
        <v>23</v>
      </c>
      <c r="F12" t="s">
        <v>74</v>
      </c>
      <c r="G12" t="s">
        <v>25</v>
      </c>
      <c r="H12" t="s">
        <v>75</v>
      </c>
      <c r="I12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E13D2-6258-4CFD-9BDC-223976B35978}">
  <sheetPr codeName="Sheet1"/>
  <dimension ref="A1:D24"/>
  <sheetViews>
    <sheetView zoomScale="102" zoomScaleNormal="187" workbookViewId="0">
      <selection activeCell="E39" sqref="E39"/>
    </sheetView>
  </sheetViews>
  <sheetFormatPr defaultRowHeight="14.4" x14ac:dyDescent="0.3"/>
  <cols>
    <col min="1" max="1" width="14.77734375" bestFit="1" customWidth="1"/>
    <col min="2" max="2" width="8.88671875" customWidth="1"/>
    <col min="3" max="3" width="5.6640625" customWidth="1"/>
    <col min="4" max="4" width="10.77734375" bestFit="1" customWidth="1"/>
  </cols>
  <sheetData>
    <row r="1" spans="1:4" x14ac:dyDescent="0.3">
      <c r="A1" t="s">
        <v>7</v>
      </c>
      <c r="B1" t="s">
        <v>8</v>
      </c>
      <c r="C1" t="s">
        <v>9</v>
      </c>
      <c r="D1" t="s">
        <v>1</v>
      </c>
    </row>
    <row r="2" spans="1:4" x14ac:dyDescent="0.3">
      <c r="A2" t="s">
        <v>26</v>
      </c>
      <c r="B2">
        <v>1</v>
      </c>
      <c r="C2">
        <v>16</v>
      </c>
      <c r="D2">
        <v>563720001</v>
      </c>
    </row>
    <row r="3" spans="1:4" x14ac:dyDescent="0.3">
      <c r="A3" t="s">
        <v>32</v>
      </c>
      <c r="B3">
        <v>3</v>
      </c>
      <c r="C3">
        <v>180</v>
      </c>
      <c r="D3">
        <v>563720001</v>
      </c>
    </row>
    <row r="4" spans="1:4" x14ac:dyDescent="0.3">
      <c r="A4" t="s">
        <v>33</v>
      </c>
      <c r="B4">
        <v>2</v>
      </c>
      <c r="C4">
        <v>140</v>
      </c>
      <c r="D4">
        <v>563720001</v>
      </c>
    </row>
    <row r="5" spans="1:4" x14ac:dyDescent="0.3">
      <c r="A5" t="s">
        <v>27</v>
      </c>
      <c r="B5">
        <v>1</v>
      </c>
      <c r="C5">
        <v>80</v>
      </c>
      <c r="D5">
        <v>563330002</v>
      </c>
    </row>
    <row r="6" spans="1:4" x14ac:dyDescent="0.3">
      <c r="A6" t="s">
        <v>37</v>
      </c>
      <c r="B6">
        <v>2</v>
      </c>
      <c r="C6">
        <v>4</v>
      </c>
      <c r="D6">
        <v>563330002</v>
      </c>
    </row>
    <row r="7" spans="1:4" x14ac:dyDescent="0.3">
      <c r="A7" t="s">
        <v>28</v>
      </c>
      <c r="B7">
        <v>1</v>
      </c>
      <c r="C7">
        <v>10</v>
      </c>
      <c r="D7">
        <v>563330002</v>
      </c>
    </row>
    <row r="8" spans="1:4" x14ac:dyDescent="0.3">
      <c r="A8" t="s">
        <v>42</v>
      </c>
      <c r="B8">
        <v>2</v>
      </c>
      <c r="C8">
        <v>120</v>
      </c>
      <c r="D8">
        <v>331770003</v>
      </c>
    </row>
    <row r="9" spans="1:4" x14ac:dyDescent="0.3">
      <c r="A9" t="s">
        <v>43</v>
      </c>
      <c r="B9">
        <v>2</v>
      </c>
      <c r="C9">
        <v>50</v>
      </c>
      <c r="D9">
        <v>331770003</v>
      </c>
    </row>
    <row r="10" spans="1:4" x14ac:dyDescent="0.3">
      <c r="A10" t="s">
        <v>42</v>
      </c>
      <c r="B10">
        <v>2</v>
      </c>
      <c r="C10">
        <v>120</v>
      </c>
      <c r="D10">
        <v>331770003</v>
      </c>
    </row>
    <row r="11" spans="1:4" x14ac:dyDescent="0.3">
      <c r="A11" t="s">
        <v>33</v>
      </c>
      <c r="B11">
        <v>2</v>
      </c>
      <c r="C11">
        <v>140</v>
      </c>
      <c r="D11">
        <v>376570004</v>
      </c>
    </row>
    <row r="12" spans="1:4" x14ac:dyDescent="0.3">
      <c r="A12" t="s">
        <v>49</v>
      </c>
      <c r="B12">
        <v>2</v>
      </c>
      <c r="C12">
        <v>80</v>
      </c>
      <c r="D12">
        <v>672650005</v>
      </c>
    </row>
    <row r="13" spans="1:4" x14ac:dyDescent="0.3">
      <c r="A13" t="s">
        <v>50</v>
      </c>
      <c r="B13">
        <v>2</v>
      </c>
      <c r="C13">
        <v>60</v>
      </c>
      <c r="D13">
        <v>672650005</v>
      </c>
    </row>
    <row r="14" spans="1:4" x14ac:dyDescent="0.3">
      <c r="A14" t="s">
        <v>51</v>
      </c>
      <c r="B14">
        <v>3</v>
      </c>
      <c r="C14">
        <v>420</v>
      </c>
      <c r="D14">
        <v>672650005</v>
      </c>
    </row>
    <row r="15" spans="1:4" x14ac:dyDescent="0.3">
      <c r="A15" t="s">
        <v>49</v>
      </c>
      <c r="B15">
        <v>1</v>
      </c>
      <c r="C15">
        <v>40</v>
      </c>
      <c r="D15">
        <v>528630006</v>
      </c>
    </row>
    <row r="16" spans="1:4" x14ac:dyDescent="0.3">
      <c r="A16" t="s">
        <v>57</v>
      </c>
      <c r="B16">
        <v>2</v>
      </c>
      <c r="C16">
        <v>120</v>
      </c>
      <c r="D16">
        <v>578650007</v>
      </c>
    </row>
    <row r="17" spans="1:4" x14ac:dyDescent="0.3">
      <c r="A17" t="s">
        <v>27</v>
      </c>
      <c r="B17">
        <v>1</v>
      </c>
      <c r="C17">
        <v>80</v>
      </c>
      <c r="D17">
        <v>657890008</v>
      </c>
    </row>
    <row r="18" spans="1:4" x14ac:dyDescent="0.3">
      <c r="A18" t="s">
        <v>61</v>
      </c>
      <c r="B18">
        <v>2</v>
      </c>
      <c r="C18">
        <v>240</v>
      </c>
      <c r="D18">
        <v>657890008</v>
      </c>
    </row>
    <row r="19" spans="1:4" x14ac:dyDescent="0.3">
      <c r="A19" t="s">
        <v>65</v>
      </c>
      <c r="B19">
        <v>2</v>
      </c>
      <c r="C19">
        <v>80</v>
      </c>
      <c r="D19">
        <v>546430009</v>
      </c>
    </row>
    <row r="20" spans="1:4" x14ac:dyDescent="0.3">
      <c r="A20" t="s">
        <v>37</v>
      </c>
      <c r="B20">
        <v>5</v>
      </c>
      <c r="C20">
        <v>10</v>
      </c>
      <c r="D20">
        <v>546430009</v>
      </c>
    </row>
    <row r="21" spans="1:4" x14ac:dyDescent="0.3">
      <c r="A21" t="s">
        <v>37</v>
      </c>
      <c r="B21">
        <v>2</v>
      </c>
      <c r="C21">
        <v>4</v>
      </c>
      <c r="D21">
        <v>652730010</v>
      </c>
    </row>
    <row r="22" spans="1:4" x14ac:dyDescent="0.3">
      <c r="A22" t="s">
        <v>68</v>
      </c>
      <c r="B22">
        <v>3</v>
      </c>
      <c r="C22">
        <v>105</v>
      </c>
      <c r="D22">
        <v>652730010</v>
      </c>
    </row>
    <row r="23" spans="1:4" x14ac:dyDescent="0.3">
      <c r="A23" t="s">
        <v>43</v>
      </c>
      <c r="B23">
        <v>1</v>
      </c>
      <c r="C23">
        <v>25</v>
      </c>
      <c r="D23">
        <v>331770011</v>
      </c>
    </row>
    <row r="24" spans="1:4" x14ac:dyDescent="0.3">
      <c r="A24" t="s">
        <v>76</v>
      </c>
      <c r="B24">
        <v>2</v>
      </c>
      <c r="C24">
        <v>240</v>
      </c>
      <c r="D24">
        <v>331770011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80420-8AB8-449E-A4A1-F18BB25850F6}">
  <sheetPr codeName="Sheet6"/>
  <dimension ref="A1:L24"/>
  <sheetViews>
    <sheetView tabSelected="1" workbookViewId="0">
      <selection activeCell="M12" sqref="M12"/>
    </sheetView>
  </sheetViews>
  <sheetFormatPr defaultRowHeight="14.4" x14ac:dyDescent="0.3"/>
  <cols>
    <col min="1" max="1" width="10" bestFit="1" customWidth="1"/>
    <col min="2" max="2" width="20.77734375" bestFit="1" customWidth="1"/>
    <col min="3" max="3" width="10.5546875" bestFit="1" customWidth="1"/>
    <col min="4" max="4" width="7.33203125" bestFit="1" customWidth="1"/>
    <col min="5" max="5" width="8.33203125" bestFit="1" customWidth="1"/>
    <col min="6" max="6" width="12.44140625" bestFit="1" customWidth="1"/>
    <col min="7" max="7" width="21" bestFit="1" customWidth="1"/>
    <col min="8" max="8" width="11.77734375" bestFit="1" customWidth="1"/>
    <col min="9" max="9" width="21.109375" bestFit="1" customWidth="1"/>
    <col min="10" max="10" width="11" bestFit="1" customWidth="1"/>
    <col min="11" max="11" width="10.33203125" bestFit="1" customWidth="1"/>
    <col min="12" max="12" width="10.109375" bestFit="1" customWidth="1"/>
  </cols>
  <sheetData>
    <row r="1" spans="1:12" x14ac:dyDescent="0.3">
      <c r="A1" s="6" t="s">
        <v>1</v>
      </c>
      <c r="B1" s="6" t="s">
        <v>7</v>
      </c>
      <c r="C1" s="6" t="s">
        <v>8</v>
      </c>
      <c r="D1" s="6" t="s">
        <v>9</v>
      </c>
      <c r="E1" s="6" t="s">
        <v>0</v>
      </c>
      <c r="F1" s="6" t="s">
        <v>2</v>
      </c>
      <c r="G1" s="6" t="s">
        <v>3</v>
      </c>
      <c r="H1" s="6" t="s">
        <v>4</v>
      </c>
      <c r="I1" s="6" t="s">
        <v>5</v>
      </c>
      <c r="J1" s="6" t="s">
        <v>6</v>
      </c>
      <c r="K1" s="6" t="s">
        <v>10</v>
      </c>
      <c r="L1" s="6" t="s">
        <v>11</v>
      </c>
    </row>
    <row r="2" spans="1:12" x14ac:dyDescent="0.3">
      <c r="A2" s="4">
        <v>563720001</v>
      </c>
      <c r="B2" s="4" t="s">
        <v>26</v>
      </c>
      <c r="C2" s="4">
        <v>1</v>
      </c>
      <c r="D2" s="4">
        <v>16</v>
      </c>
      <c r="E2" s="4" t="str" cm="1">
        <f t="array" ref="E2">VLOOKUP($A2, User!$A:$I, COLUMN(B:B), FALSE)</f>
        <v>Naksh</v>
      </c>
      <c r="F2" s="4" cm="1">
        <f t="array" ref="F2">VLOOKUP($A2, User!$A:$I, COLUMN(C:C), FALSE)</f>
        <v>9920756372</v>
      </c>
      <c r="G2" s="4" t="str" cm="1">
        <f t="array" ref="G2">VLOOKUP($A2, User!$A:$I, COLUMN(D:D), FALSE)</f>
        <v>jainaksh576@gmail.com</v>
      </c>
      <c r="H2" s="4" t="str" cm="1">
        <f t="array" ref="H2">VLOOKUP($A2, User!$A:$I, COLUMN(E:E), FALSE)</f>
        <v>Student</v>
      </c>
      <c r="I2" s="4" t="str" cm="1">
        <f t="array" ref="I2">VLOOKUP($A2, User!$A:$I, COLUMN(F:F), FALSE)</f>
        <v>BSc in Data Science</v>
      </c>
      <c r="J2" s="4" t="str" cm="1">
        <f t="array" ref="J2">VLOOKUP($A2, User!$A:$I, COLUMN(G:G), FALSE)</f>
        <v>1st Year</v>
      </c>
      <c r="K2" s="4" t="str" cm="1">
        <f t="array" ref="K2">VLOOKUP($A2, User!$A:$I, COLUMN(H:H), FALSE)</f>
        <v>24-03-2024</v>
      </c>
      <c r="L2" s="4" cm="1">
        <f t="array" ref="L2">VLOOKUP($A2, User!$A:$I, COLUMN(I:I), FALSE)</f>
        <v>336</v>
      </c>
    </row>
    <row r="3" spans="1:12" x14ac:dyDescent="0.3">
      <c r="A3" s="5">
        <v>563720001</v>
      </c>
      <c r="B3" s="5" t="s">
        <v>32</v>
      </c>
      <c r="C3" s="5">
        <v>3</v>
      </c>
      <c r="D3" s="5">
        <v>180</v>
      </c>
      <c r="E3" s="5" t="str" cm="1">
        <f t="array" ref="E3">VLOOKUP($A3, User!$A:$I, COLUMN(B:B), FALSE)</f>
        <v>Naksh</v>
      </c>
      <c r="F3" s="5" cm="1">
        <f t="array" ref="F3">VLOOKUP($A3, User!$A:$I, COLUMN(C:C), FALSE)</f>
        <v>9920756372</v>
      </c>
      <c r="G3" s="5" t="str" cm="1">
        <f t="array" ref="G3">VLOOKUP($A3, User!$A:$I, COLUMN(D:D), FALSE)</f>
        <v>jainaksh576@gmail.com</v>
      </c>
      <c r="H3" s="5" t="str" cm="1">
        <f t="array" ref="H3">VLOOKUP($A3, User!$A:$I, COLUMN(E:E), FALSE)</f>
        <v>Student</v>
      </c>
      <c r="I3" s="5" t="str" cm="1">
        <f t="array" ref="I3">VLOOKUP($A3, User!$A:$I, COLUMN(F:F), FALSE)</f>
        <v>BSc in Data Science</v>
      </c>
      <c r="J3" s="5" t="str" cm="1">
        <f t="array" ref="J3">VLOOKUP($A3, User!$A:$I, COLUMN(G:G), FALSE)</f>
        <v>1st Year</v>
      </c>
      <c r="K3" s="5" t="str" cm="1">
        <f t="array" ref="K3">VLOOKUP($A3, User!$A:$I, COLUMN(H:H), FALSE)</f>
        <v>24-03-2024</v>
      </c>
      <c r="L3" s="5" cm="1">
        <f t="array" ref="L3">VLOOKUP($A3, User!$A:$I, COLUMN(I:I), FALSE)</f>
        <v>336</v>
      </c>
    </row>
    <row r="4" spans="1:12" x14ac:dyDescent="0.3">
      <c r="A4" s="4">
        <v>563720001</v>
      </c>
      <c r="B4" s="4" t="s">
        <v>33</v>
      </c>
      <c r="C4" s="4">
        <v>2</v>
      </c>
      <c r="D4" s="4">
        <v>140</v>
      </c>
      <c r="E4" s="4" t="str" cm="1">
        <f t="array" ref="E4">VLOOKUP($A4, User!$A:$I, COLUMN(B:B), FALSE)</f>
        <v>Naksh</v>
      </c>
      <c r="F4" s="4" cm="1">
        <f t="array" ref="F4">VLOOKUP($A4, User!$A:$I, COLUMN(C:C), FALSE)</f>
        <v>9920756372</v>
      </c>
      <c r="G4" s="4" t="str" cm="1">
        <f t="array" ref="G4">VLOOKUP($A4, User!$A:$I, COLUMN(D:D), FALSE)</f>
        <v>jainaksh576@gmail.com</v>
      </c>
      <c r="H4" s="4" t="str" cm="1">
        <f t="array" ref="H4">VLOOKUP($A4, User!$A:$I, COLUMN(E:E), FALSE)</f>
        <v>Student</v>
      </c>
      <c r="I4" s="4" t="str" cm="1">
        <f t="array" ref="I4">VLOOKUP($A4, User!$A:$I, COLUMN(F:F), FALSE)</f>
        <v>BSc in Data Science</v>
      </c>
      <c r="J4" s="4" t="str" cm="1">
        <f t="array" ref="J4">VLOOKUP($A4, User!$A:$I, COLUMN(G:G), FALSE)</f>
        <v>1st Year</v>
      </c>
      <c r="K4" s="4" t="str" cm="1">
        <f t="array" ref="K4">VLOOKUP($A4, User!$A:$I, COLUMN(H:H), FALSE)</f>
        <v>24-03-2024</v>
      </c>
      <c r="L4" s="4" cm="1">
        <f t="array" ref="L4">VLOOKUP($A4, User!$A:$I, COLUMN(I:I), FALSE)</f>
        <v>336</v>
      </c>
    </row>
    <row r="5" spans="1:12" x14ac:dyDescent="0.3">
      <c r="A5" s="5">
        <v>563330002</v>
      </c>
      <c r="B5" s="5" t="s">
        <v>27</v>
      </c>
      <c r="C5" s="5">
        <v>1</v>
      </c>
      <c r="D5" s="5">
        <v>80</v>
      </c>
      <c r="E5" s="5" t="str" cm="1">
        <f t="array" ref="E5">VLOOKUP($A5, User!$A:$I, COLUMN(B:B), FALSE)</f>
        <v>Pavan</v>
      </c>
      <c r="F5" s="5" cm="1">
        <f t="array" ref="F5">VLOOKUP($A5, User!$A:$I, COLUMN(C:C), FALSE)</f>
        <v>9920756333</v>
      </c>
      <c r="G5" s="5" t="str" cm="1">
        <f t="array" ref="G5">VLOOKUP($A5, User!$A:$I, COLUMN(D:D), FALSE)</f>
        <v>pavansy@gmail.com</v>
      </c>
      <c r="H5" s="5" t="str" cm="1">
        <f t="array" ref="H5">VLOOKUP($A5, User!$A:$I, COLUMN(E:E), FALSE)</f>
        <v>Student</v>
      </c>
      <c r="I5" s="5" t="str" cm="1">
        <f t="array" ref="I5">VLOOKUP($A5, User!$A:$I, COLUMN(F:F), FALSE)</f>
        <v>BSc in Computer Science</v>
      </c>
      <c r="J5" s="5" t="str" cm="1">
        <f t="array" ref="J5">VLOOKUP($A5, User!$A:$I, COLUMN(G:G), FALSE)</f>
        <v>2nd Year</v>
      </c>
      <c r="K5" s="5" t="str" cm="1">
        <f t="array" ref="K5">VLOOKUP($A5, User!$A:$I, COLUMN(H:H), FALSE)</f>
        <v>24-03-2024</v>
      </c>
      <c r="L5" s="5" cm="1">
        <f t="array" ref="L5">VLOOKUP($A5, User!$A:$I, COLUMN(I:I), FALSE)</f>
        <v>94</v>
      </c>
    </row>
    <row r="6" spans="1:12" x14ac:dyDescent="0.3">
      <c r="A6" s="4">
        <v>563330002</v>
      </c>
      <c r="B6" s="4" t="s">
        <v>37</v>
      </c>
      <c r="C6" s="4">
        <v>2</v>
      </c>
      <c r="D6" s="4">
        <v>4</v>
      </c>
      <c r="E6" s="4" t="str" cm="1">
        <f t="array" ref="E6">VLOOKUP($A6, User!$A:$I, COLUMN(B:B), FALSE)</f>
        <v>Pavan</v>
      </c>
      <c r="F6" s="4" cm="1">
        <f t="array" ref="F6">VLOOKUP($A6, User!$A:$I, COLUMN(C:C), FALSE)</f>
        <v>9920756333</v>
      </c>
      <c r="G6" s="4" t="str" cm="1">
        <f t="array" ref="G6">VLOOKUP($A6, User!$A:$I, COLUMN(D:D), FALSE)</f>
        <v>pavansy@gmail.com</v>
      </c>
      <c r="H6" s="4" t="str" cm="1">
        <f t="array" ref="H6">VLOOKUP($A6, User!$A:$I, COLUMN(E:E), FALSE)</f>
        <v>Student</v>
      </c>
      <c r="I6" s="4" t="str" cm="1">
        <f t="array" ref="I6">VLOOKUP($A6, User!$A:$I, COLUMN(F:F), FALSE)</f>
        <v>BSc in Computer Science</v>
      </c>
      <c r="J6" s="4" t="str" cm="1">
        <f t="array" ref="J6">VLOOKUP($A6, User!$A:$I, COLUMN(G:G), FALSE)</f>
        <v>2nd Year</v>
      </c>
      <c r="K6" s="4" t="str" cm="1">
        <f t="array" ref="K6">VLOOKUP($A6, User!$A:$I, COLUMN(H:H), FALSE)</f>
        <v>24-03-2024</v>
      </c>
      <c r="L6" s="4" cm="1">
        <f t="array" ref="L6">VLOOKUP($A6, User!$A:$I, COLUMN(I:I), FALSE)</f>
        <v>94</v>
      </c>
    </row>
    <row r="7" spans="1:12" x14ac:dyDescent="0.3">
      <c r="A7" s="5">
        <v>563330002</v>
      </c>
      <c r="B7" s="5" t="s">
        <v>28</v>
      </c>
      <c r="C7" s="5">
        <v>1</v>
      </c>
      <c r="D7" s="5">
        <v>10</v>
      </c>
      <c r="E7" s="5" t="str" cm="1">
        <f t="array" ref="E7">VLOOKUP($A7, User!$A:$I, COLUMN(B:B), FALSE)</f>
        <v>Pavan</v>
      </c>
      <c r="F7" s="5" cm="1">
        <f t="array" ref="F7">VLOOKUP($A7, User!$A:$I, COLUMN(C:C), FALSE)</f>
        <v>9920756333</v>
      </c>
      <c r="G7" s="5" t="str" cm="1">
        <f t="array" ref="G7">VLOOKUP($A7, User!$A:$I, COLUMN(D:D), FALSE)</f>
        <v>pavansy@gmail.com</v>
      </c>
      <c r="H7" s="5" t="str" cm="1">
        <f t="array" ref="H7">VLOOKUP($A7, User!$A:$I, COLUMN(E:E), FALSE)</f>
        <v>Student</v>
      </c>
      <c r="I7" s="5" t="str" cm="1">
        <f t="array" ref="I7">VLOOKUP($A7, User!$A:$I, COLUMN(F:F), FALSE)</f>
        <v>BSc in Computer Science</v>
      </c>
      <c r="J7" s="5" t="str" cm="1">
        <f t="array" ref="J7">VLOOKUP($A7, User!$A:$I, COLUMN(G:G), FALSE)</f>
        <v>2nd Year</v>
      </c>
      <c r="K7" s="5" t="str" cm="1">
        <f t="array" ref="K7">VLOOKUP($A7, User!$A:$I, COLUMN(H:H), FALSE)</f>
        <v>24-03-2024</v>
      </c>
      <c r="L7" s="5" cm="1">
        <f t="array" ref="L7">VLOOKUP($A7, User!$A:$I, COLUMN(I:I), FALSE)</f>
        <v>94</v>
      </c>
    </row>
    <row r="8" spans="1:12" x14ac:dyDescent="0.3">
      <c r="A8" s="4">
        <v>331770003</v>
      </c>
      <c r="B8" s="4" t="s">
        <v>42</v>
      </c>
      <c r="C8" s="4">
        <v>2</v>
      </c>
      <c r="D8" s="4">
        <v>120</v>
      </c>
      <c r="E8" s="4" t="str" cm="1">
        <f t="array" ref="E8">VLOOKUP($A8, User!$A:$I, COLUMN(B:B), FALSE)</f>
        <v>Jiya</v>
      </c>
      <c r="F8" s="4" cm="1">
        <f t="array" ref="F8">VLOOKUP($A8, User!$A:$I, COLUMN(C:C), FALSE)</f>
        <v>9892433177</v>
      </c>
      <c r="G8" s="4" t="str" cm="1">
        <f t="array" ref="G8">VLOOKUP($A8, User!$A:$I, COLUMN(D:D), FALSE)</f>
        <v>jiya123@gmail.com</v>
      </c>
      <c r="H8" s="4" t="str" cm="1">
        <f t="array" ref="H8">VLOOKUP($A8, User!$A:$I, COLUMN(E:E), FALSE)</f>
        <v>Student</v>
      </c>
      <c r="I8" s="4" t="str" cm="1">
        <f t="array" ref="I8">VLOOKUP($A8, User!$A:$I, COLUMN(F:F), FALSE)</f>
        <v>MSc in Physics</v>
      </c>
      <c r="J8" s="4" t="str" cm="1">
        <f t="array" ref="J8">VLOOKUP($A8, User!$A:$I, COLUMN(G:G), FALSE)</f>
        <v>Second Year</v>
      </c>
      <c r="K8" s="4" t="str" cm="1">
        <f t="array" ref="K8">VLOOKUP($A8, User!$A:$I, COLUMN(H:H), FALSE)</f>
        <v>24-03-2024</v>
      </c>
      <c r="L8" s="4" cm="1">
        <f t="array" ref="L8">VLOOKUP($A8, User!$A:$I, COLUMN(I:I), FALSE)</f>
        <v>290</v>
      </c>
    </row>
    <row r="9" spans="1:12" x14ac:dyDescent="0.3">
      <c r="A9" s="5">
        <v>331770003</v>
      </c>
      <c r="B9" s="5" t="s">
        <v>43</v>
      </c>
      <c r="C9" s="5">
        <v>2</v>
      </c>
      <c r="D9" s="5">
        <v>50</v>
      </c>
      <c r="E9" s="5" t="str" cm="1">
        <f t="array" ref="E9">VLOOKUP($A9, User!$A:$I, COLUMN(B:B), FALSE)</f>
        <v>Jiya</v>
      </c>
      <c r="F9" s="5" cm="1">
        <f t="array" ref="F9">VLOOKUP($A9, User!$A:$I, COLUMN(C:C), FALSE)</f>
        <v>9892433177</v>
      </c>
      <c r="G9" s="5" t="str" cm="1">
        <f t="array" ref="G9">VLOOKUP($A9, User!$A:$I, COLUMN(D:D), FALSE)</f>
        <v>jiya123@gmail.com</v>
      </c>
      <c r="H9" s="5" t="str" cm="1">
        <f t="array" ref="H9">VLOOKUP($A9, User!$A:$I, COLUMN(E:E), FALSE)</f>
        <v>Student</v>
      </c>
      <c r="I9" s="5" t="str" cm="1">
        <f t="array" ref="I9">VLOOKUP($A9, User!$A:$I, COLUMN(F:F), FALSE)</f>
        <v>MSc in Physics</v>
      </c>
      <c r="J9" s="5" t="str" cm="1">
        <f t="array" ref="J9">VLOOKUP($A9, User!$A:$I, COLUMN(G:G), FALSE)</f>
        <v>Second Year</v>
      </c>
      <c r="K9" s="5" t="str" cm="1">
        <f t="array" ref="K9">VLOOKUP($A9, User!$A:$I, COLUMN(H:H), FALSE)</f>
        <v>24-03-2024</v>
      </c>
      <c r="L9" s="5" cm="1">
        <f t="array" ref="L9">VLOOKUP($A9, User!$A:$I, COLUMN(I:I), FALSE)</f>
        <v>290</v>
      </c>
    </row>
    <row r="10" spans="1:12" x14ac:dyDescent="0.3">
      <c r="A10" s="4">
        <v>331770003</v>
      </c>
      <c r="B10" s="4" t="s">
        <v>42</v>
      </c>
      <c r="C10" s="4">
        <v>2</v>
      </c>
      <c r="D10" s="4">
        <v>120</v>
      </c>
      <c r="E10" s="4" t="str" cm="1">
        <f t="array" ref="E10">VLOOKUP($A10, User!$A:$I, COLUMN(B:B), FALSE)</f>
        <v>Jiya</v>
      </c>
      <c r="F10" s="4" cm="1">
        <f t="array" ref="F10">VLOOKUP($A10, User!$A:$I, COLUMN(C:C), FALSE)</f>
        <v>9892433177</v>
      </c>
      <c r="G10" s="4" t="str" cm="1">
        <f t="array" ref="G10">VLOOKUP($A10, User!$A:$I, COLUMN(D:D), FALSE)</f>
        <v>jiya123@gmail.com</v>
      </c>
      <c r="H10" s="4" t="str" cm="1">
        <f t="array" ref="H10">VLOOKUP($A10, User!$A:$I, COLUMN(E:E), FALSE)</f>
        <v>Student</v>
      </c>
      <c r="I10" s="4" t="str" cm="1">
        <f t="array" ref="I10">VLOOKUP($A10, User!$A:$I, COLUMN(F:F), FALSE)</f>
        <v>MSc in Physics</v>
      </c>
      <c r="J10" s="4" t="str" cm="1">
        <f t="array" ref="J10">VLOOKUP($A10, User!$A:$I, COLUMN(G:G), FALSE)</f>
        <v>Second Year</v>
      </c>
      <c r="K10" s="4" t="str" cm="1">
        <f t="array" ref="K10">VLOOKUP($A10, User!$A:$I, COLUMN(H:H), FALSE)</f>
        <v>24-03-2024</v>
      </c>
      <c r="L10" s="4" cm="1">
        <f t="array" ref="L10">VLOOKUP($A10, User!$A:$I, COLUMN(I:I), FALSE)</f>
        <v>290</v>
      </c>
    </row>
    <row r="11" spans="1:12" x14ac:dyDescent="0.3">
      <c r="A11" s="5">
        <v>376570004</v>
      </c>
      <c r="B11" s="5" t="s">
        <v>33</v>
      </c>
      <c r="C11" s="5">
        <v>2</v>
      </c>
      <c r="D11" s="5">
        <v>140</v>
      </c>
      <c r="E11" s="5" t="str" cm="1">
        <f t="array" ref="E11">VLOOKUP($A11, User!$A:$I, COLUMN(B:B), FALSE)</f>
        <v>Priya</v>
      </c>
      <c r="F11" s="5" cm="1">
        <f t="array" ref="F11">VLOOKUP($A11, User!$A:$I, COLUMN(C:C), FALSE)</f>
        <v>9682737657</v>
      </c>
      <c r="G11" s="5" t="str" cm="1">
        <f t="array" ref="G11">VLOOKUP($A11, User!$A:$I, COLUMN(D:D), FALSE)</f>
        <v>priya@gmail.com</v>
      </c>
      <c r="H11" s="5" t="str" cm="1">
        <f t="array" ref="H11">VLOOKUP($A11, User!$A:$I, COLUMN(E:E), FALSE)</f>
        <v>Faculty</v>
      </c>
      <c r="I11" s="5" t="str" cm="1">
        <f t="array" ref="I11">VLOOKUP($A11, User!$A:$I, COLUMN(F:F), FALSE)</f>
        <v>--</v>
      </c>
      <c r="J11" s="5" t="str" cm="1">
        <f t="array" ref="J11">VLOOKUP($A11, User!$A:$I, COLUMN(G:G), FALSE)</f>
        <v>--</v>
      </c>
      <c r="K11" s="5" t="str" cm="1">
        <f t="array" ref="K11">VLOOKUP($A11, User!$A:$I, COLUMN(H:H), FALSE)</f>
        <v>24-03-2024</v>
      </c>
      <c r="L11" s="5" cm="1">
        <f t="array" ref="L11">VLOOKUP($A11, User!$A:$I, COLUMN(I:I), FALSE)</f>
        <v>140</v>
      </c>
    </row>
    <row r="12" spans="1:12" x14ac:dyDescent="0.3">
      <c r="A12" s="4">
        <v>672650005</v>
      </c>
      <c r="B12" s="4" t="s">
        <v>49</v>
      </c>
      <c r="C12" s="4">
        <v>2</v>
      </c>
      <c r="D12" s="4">
        <v>80</v>
      </c>
      <c r="E12" s="4" t="str" cm="1">
        <f t="array" ref="E12">VLOOKUP($A12, User!$A:$I, COLUMN(B:B), FALSE)</f>
        <v>Hammed</v>
      </c>
      <c r="F12" s="4" cm="1">
        <f t="array" ref="F12">VLOOKUP($A12, User!$A:$I, COLUMN(C:C), FALSE)</f>
        <v>9738467265</v>
      </c>
      <c r="G12" s="4" t="str" cm="1">
        <f t="array" ref="G12">VLOOKUP($A12, User!$A:$I, COLUMN(D:D), FALSE)</f>
        <v>hameed12@gmail.com</v>
      </c>
      <c r="H12" s="4" t="str" cm="1">
        <f t="array" ref="H12">VLOOKUP($A12, User!$A:$I, COLUMN(E:E), FALSE)</f>
        <v>Faculty</v>
      </c>
      <c r="I12" s="4" t="str" cm="1">
        <f t="array" ref="I12">VLOOKUP($A12, User!$A:$I, COLUMN(F:F), FALSE)</f>
        <v>--</v>
      </c>
      <c r="J12" s="4" t="str" cm="1">
        <f t="array" ref="J12">VLOOKUP($A12, User!$A:$I, COLUMN(G:G), FALSE)</f>
        <v>--</v>
      </c>
      <c r="K12" s="4" t="str" cm="1">
        <f t="array" ref="K12">VLOOKUP($A12, User!$A:$I, COLUMN(H:H), FALSE)</f>
        <v>24-03-2024</v>
      </c>
      <c r="L12" s="4" cm="1">
        <f t="array" ref="L12">VLOOKUP($A12, User!$A:$I, COLUMN(I:I), FALSE)</f>
        <v>560</v>
      </c>
    </row>
    <row r="13" spans="1:12" x14ac:dyDescent="0.3">
      <c r="A13" s="5">
        <v>672650005</v>
      </c>
      <c r="B13" s="5" t="s">
        <v>50</v>
      </c>
      <c r="C13" s="5">
        <v>2</v>
      </c>
      <c r="D13" s="5">
        <v>60</v>
      </c>
      <c r="E13" s="5" t="str" cm="1">
        <f t="array" ref="E13">VLOOKUP($A13, User!$A:$I, COLUMN(B:B), FALSE)</f>
        <v>Hammed</v>
      </c>
      <c r="F13" s="5" cm="1">
        <f t="array" ref="F13">VLOOKUP($A13, User!$A:$I, COLUMN(C:C), FALSE)</f>
        <v>9738467265</v>
      </c>
      <c r="G13" s="5" t="str" cm="1">
        <f t="array" ref="G13">VLOOKUP($A13, User!$A:$I, COLUMN(D:D), FALSE)</f>
        <v>hameed12@gmail.com</v>
      </c>
      <c r="H13" s="5" t="str" cm="1">
        <f t="array" ref="H13">VLOOKUP($A13, User!$A:$I, COLUMN(E:E), FALSE)</f>
        <v>Faculty</v>
      </c>
      <c r="I13" s="5" t="str" cm="1">
        <f t="array" ref="I13">VLOOKUP($A13, User!$A:$I, COLUMN(F:F), FALSE)</f>
        <v>--</v>
      </c>
      <c r="J13" s="5" t="str" cm="1">
        <f t="array" ref="J13">VLOOKUP($A13, User!$A:$I, COLUMN(G:G), FALSE)</f>
        <v>--</v>
      </c>
      <c r="K13" s="5" t="str" cm="1">
        <f t="array" ref="K13">VLOOKUP($A13, User!$A:$I, COLUMN(H:H), FALSE)</f>
        <v>24-03-2024</v>
      </c>
      <c r="L13" s="5" cm="1">
        <f t="array" ref="L13">VLOOKUP($A13, User!$A:$I, COLUMN(I:I), FALSE)</f>
        <v>560</v>
      </c>
    </row>
    <row r="14" spans="1:12" x14ac:dyDescent="0.3">
      <c r="A14" s="4">
        <v>672650005</v>
      </c>
      <c r="B14" s="4" t="s">
        <v>51</v>
      </c>
      <c r="C14" s="4">
        <v>3</v>
      </c>
      <c r="D14" s="4">
        <v>420</v>
      </c>
      <c r="E14" s="4" t="str" cm="1">
        <f t="array" ref="E14">VLOOKUP($A14, User!$A:$I, COLUMN(B:B), FALSE)</f>
        <v>Hammed</v>
      </c>
      <c r="F14" s="4" cm="1">
        <f t="array" ref="F14">VLOOKUP($A14, User!$A:$I, COLUMN(C:C), FALSE)</f>
        <v>9738467265</v>
      </c>
      <c r="G14" s="4" t="str" cm="1">
        <f t="array" ref="G14">VLOOKUP($A14, User!$A:$I, COLUMN(D:D), FALSE)</f>
        <v>hameed12@gmail.com</v>
      </c>
      <c r="H14" s="4" t="str" cm="1">
        <f t="array" ref="H14">VLOOKUP($A14, User!$A:$I, COLUMN(E:E), FALSE)</f>
        <v>Faculty</v>
      </c>
      <c r="I14" s="4" t="str" cm="1">
        <f t="array" ref="I14">VLOOKUP($A14, User!$A:$I, COLUMN(F:F), FALSE)</f>
        <v>--</v>
      </c>
      <c r="J14" s="4" t="str" cm="1">
        <f t="array" ref="J14">VLOOKUP($A14, User!$A:$I, COLUMN(G:G), FALSE)</f>
        <v>--</v>
      </c>
      <c r="K14" s="4" t="str" cm="1">
        <f t="array" ref="K14">VLOOKUP($A14, User!$A:$I, COLUMN(H:H), FALSE)</f>
        <v>24-03-2024</v>
      </c>
      <c r="L14" s="4" cm="1">
        <f t="array" ref="L14">VLOOKUP($A14, User!$A:$I, COLUMN(I:I), FALSE)</f>
        <v>560</v>
      </c>
    </row>
    <row r="15" spans="1:12" x14ac:dyDescent="0.3">
      <c r="A15" s="5">
        <v>528630006</v>
      </c>
      <c r="B15" s="5" t="s">
        <v>49</v>
      </c>
      <c r="C15" s="5">
        <v>1</v>
      </c>
      <c r="D15" s="5">
        <v>40</v>
      </c>
      <c r="E15" s="5" t="str" cm="1">
        <f t="array" ref="E15">VLOOKUP($A15, User!$A:$I, COLUMN(B:B), FALSE)</f>
        <v>bobby</v>
      </c>
      <c r="F15" s="5" cm="1">
        <f t="array" ref="F15">VLOOKUP($A15, User!$A:$I, COLUMN(C:C), FALSE)</f>
        <v>9111902863</v>
      </c>
      <c r="G15" s="5" t="str" cm="1">
        <f t="array" ref="G15">VLOOKUP($A15, User!$A:$I, COLUMN(D:D), FALSE)</f>
        <v>bobby@gmail.com</v>
      </c>
      <c r="H15" s="5" t="str" cm="1">
        <f t="array" ref="H15">VLOOKUP($A15, User!$A:$I, COLUMN(E:E), FALSE)</f>
        <v>Management</v>
      </c>
      <c r="I15" s="5" t="str" cm="1">
        <f t="array" ref="I15">VLOOKUP($A15, User!$A:$I, COLUMN(F:F), FALSE)</f>
        <v>--</v>
      </c>
      <c r="J15" s="5" t="str" cm="1">
        <f t="array" ref="J15">VLOOKUP($A15, User!$A:$I, COLUMN(G:G), FALSE)</f>
        <v>--</v>
      </c>
      <c r="K15" s="5" t="str" cm="1">
        <f t="array" ref="K15">VLOOKUP($A15, User!$A:$I, COLUMN(H:H), FALSE)</f>
        <v>24-03-2024</v>
      </c>
      <c r="L15" s="5" cm="1">
        <f t="array" ref="L15">VLOOKUP($A15, User!$A:$I, COLUMN(I:I), FALSE)</f>
        <v>40</v>
      </c>
    </row>
    <row r="16" spans="1:12" x14ac:dyDescent="0.3">
      <c r="A16" s="4">
        <v>578650007</v>
      </c>
      <c r="B16" s="4" t="s">
        <v>57</v>
      </c>
      <c r="C16" s="4">
        <v>2</v>
      </c>
      <c r="D16" s="4">
        <v>120</v>
      </c>
      <c r="E16" s="4" t="str" cm="1">
        <f t="array" ref="E16">VLOOKUP($A16, User!$A:$I, COLUMN(B:B), FALSE)</f>
        <v>siraj</v>
      </c>
      <c r="F16" s="4" cm="1">
        <f t="array" ref="F16">VLOOKUP($A16, User!$A:$I, COLUMN(C:C), FALSE)</f>
        <v>9837657865</v>
      </c>
      <c r="G16" s="4" t="str" cm="1">
        <f t="array" ref="G16">VLOOKUP($A16, User!$A:$I, COLUMN(D:D), FALSE)</f>
        <v>siraj@gmail.com</v>
      </c>
      <c r="H16" s="4" t="str" cm="1">
        <f t="array" ref="H16">VLOOKUP($A16, User!$A:$I, COLUMN(E:E), FALSE)</f>
        <v>Staff</v>
      </c>
      <c r="I16" s="4" t="str" cm="1">
        <f t="array" ref="I16">VLOOKUP($A16, User!$A:$I, COLUMN(F:F), FALSE)</f>
        <v>--</v>
      </c>
      <c r="J16" s="4" t="str" cm="1">
        <f t="array" ref="J16">VLOOKUP($A16, User!$A:$I, COLUMN(G:G), FALSE)</f>
        <v>--</v>
      </c>
      <c r="K16" s="4" t="str" cm="1">
        <f t="array" ref="K16">VLOOKUP($A16, User!$A:$I, COLUMN(H:H), FALSE)</f>
        <v>24-03-2024</v>
      </c>
      <c r="L16" s="4" cm="1">
        <f t="array" ref="L16">VLOOKUP($A16, User!$A:$I, COLUMN(I:I), FALSE)</f>
        <v>120</v>
      </c>
    </row>
    <row r="17" spans="1:12" x14ac:dyDescent="0.3">
      <c r="A17" s="5">
        <v>657890008</v>
      </c>
      <c r="B17" s="5" t="s">
        <v>27</v>
      </c>
      <c r="C17" s="5">
        <v>1</v>
      </c>
      <c r="D17" s="5">
        <v>80</v>
      </c>
      <c r="E17" s="5" t="str" cm="1">
        <f t="array" ref="E17">VLOOKUP($A17, User!$A:$I, COLUMN(B:B), FALSE)</f>
        <v>dhruvi</v>
      </c>
      <c r="F17" s="5" cm="1">
        <f t="array" ref="F17">VLOOKUP($A17, User!$A:$I, COLUMN(C:C), FALSE)</f>
        <v>9127365789</v>
      </c>
      <c r="G17" s="5" t="str" cm="1">
        <f t="array" ref="G17">VLOOKUP($A17, User!$A:$I, COLUMN(D:D), FALSE)</f>
        <v>dhruvi@gmail.com</v>
      </c>
      <c r="H17" s="5" t="str" cm="1">
        <f t="array" ref="H17">VLOOKUP($A17, User!$A:$I, COLUMN(E:E), FALSE)</f>
        <v>Student</v>
      </c>
      <c r="I17" s="5" t="str" cm="1">
        <f t="array" ref="I17">VLOOKUP($A17, User!$A:$I, COLUMN(F:F), FALSE)</f>
        <v>MSc in Physics</v>
      </c>
      <c r="J17" s="5" t="str" cm="1">
        <f t="array" ref="J17">VLOOKUP($A17, User!$A:$I, COLUMN(G:G), FALSE)</f>
        <v>First Year</v>
      </c>
      <c r="K17" s="5" t="str" cm="1">
        <f t="array" ref="K17">VLOOKUP($A17, User!$A:$I, COLUMN(H:H), FALSE)</f>
        <v>24-03-2024</v>
      </c>
      <c r="L17" s="5" cm="1">
        <f t="array" ref="L17">VLOOKUP($A17, User!$A:$I, COLUMN(I:I), FALSE)</f>
        <v>320</v>
      </c>
    </row>
    <row r="18" spans="1:12" x14ac:dyDescent="0.3">
      <c r="A18" s="4">
        <v>657890008</v>
      </c>
      <c r="B18" s="4" t="s">
        <v>61</v>
      </c>
      <c r="C18" s="4">
        <v>2</v>
      </c>
      <c r="D18" s="4">
        <v>240</v>
      </c>
      <c r="E18" s="4" t="str" cm="1">
        <f t="array" ref="E18">VLOOKUP($A18, User!$A:$I, COLUMN(B:B), FALSE)</f>
        <v>dhruvi</v>
      </c>
      <c r="F18" s="4" cm="1">
        <f t="array" ref="F18">VLOOKUP($A18, User!$A:$I, COLUMN(C:C), FALSE)</f>
        <v>9127365789</v>
      </c>
      <c r="G18" s="4" t="str" cm="1">
        <f t="array" ref="G18">VLOOKUP($A18, User!$A:$I, COLUMN(D:D), FALSE)</f>
        <v>dhruvi@gmail.com</v>
      </c>
      <c r="H18" s="4" t="str" cm="1">
        <f t="array" ref="H18">VLOOKUP($A18, User!$A:$I, COLUMN(E:E), FALSE)</f>
        <v>Student</v>
      </c>
      <c r="I18" s="4" t="str" cm="1">
        <f t="array" ref="I18">VLOOKUP($A18, User!$A:$I, COLUMN(F:F), FALSE)</f>
        <v>MSc in Physics</v>
      </c>
      <c r="J18" s="4" t="str" cm="1">
        <f t="array" ref="J18">VLOOKUP($A18, User!$A:$I, COLUMN(G:G), FALSE)</f>
        <v>First Year</v>
      </c>
      <c r="K18" s="4" t="str" cm="1">
        <f t="array" ref="K18">VLOOKUP($A18, User!$A:$I, COLUMN(H:H), FALSE)</f>
        <v>24-03-2024</v>
      </c>
      <c r="L18" s="4" cm="1">
        <f t="array" ref="L18">VLOOKUP($A18, User!$A:$I, COLUMN(I:I), FALSE)</f>
        <v>320</v>
      </c>
    </row>
    <row r="19" spans="1:12" x14ac:dyDescent="0.3">
      <c r="A19" s="5">
        <v>546430009</v>
      </c>
      <c r="B19" s="5" t="s">
        <v>65</v>
      </c>
      <c r="C19" s="5">
        <v>2</v>
      </c>
      <c r="D19" s="5">
        <v>80</v>
      </c>
      <c r="E19" s="5" t="str" cm="1">
        <f t="array" ref="E19">VLOOKUP($A19, User!$A:$I, COLUMN(B:B), FALSE)</f>
        <v>kala</v>
      </c>
      <c r="F19" s="5" cm="1">
        <f t="array" ref="F19">VLOOKUP($A19, User!$A:$I, COLUMN(C:C), FALSE)</f>
        <v>9878654643</v>
      </c>
      <c r="G19" s="5" t="str" cm="1">
        <f t="array" ref="G19">VLOOKUP($A19, User!$A:$I, COLUMN(D:D), FALSE)</f>
        <v>kala@gmail.com</v>
      </c>
      <c r="H19" s="5" t="str" cm="1">
        <f t="array" ref="H19">VLOOKUP($A19, User!$A:$I, COLUMN(E:E), FALSE)</f>
        <v>Student</v>
      </c>
      <c r="I19" s="5" t="str" cm="1">
        <f t="array" ref="I19">VLOOKUP($A19, User!$A:$I, COLUMN(F:F), FALSE)</f>
        <v>PG in Data Science</v>
      </c>
      <c r="J19" s="5" t="str" cm="1">
        <f t="array" ref="J19">VLOOKUP($A19, User!$A:$I, COLUMN(G:G), FALSE)</f>
        <v>1st Year</v>
      </c>
      <c r="K19" s="5" t="str" cm="1">
        <f t="array" ref="K19">VLOOKUP($A19, User!$A:$I, COLUMN(H:H), FALSE)</f>
        <v>24-03-2024</v>
      </c>
      <c r="L19" s="5" cm="1">
        <f t="array" ref="L19">VLOOKUP($A19, User!$A:$I, COLUMN(I:I), FALSE)</f>
        <v>90</v>
      </c>
    </row>
    <row r="20" spans="1:12" x14ac:dyDescent="0.3">
      <c r="A20" s="4">
        <v>546430009</v>
      </c>
      <c r="B20" s="4" t="s">
        <v>37</v>
      </c>
      <c r="C20" s="4">
        <v>5</v>
      </c>
      <c r="D20" s="4">
        <v>10</v>
      </c>
      <c r="E20" s="4" t="str" cm="1">
        <f t="array" ref="E20">VLOOKUP($A20, User!$A:$I, COLUMN(B:B), FALSE)</f>
        <v>kala</v>
      </c>
      <c r="F20" s="4" cm="1">
        <f t="array" ref="F20">VLOOKUP($A20, User!$A:$I, COLUMN(C:C), FALSE)</f>
        <v>9878654643</v>
      </c>
      <c r="G20" s="4" t="str" cm="1">
        <f t="array" ref="G20">VLOOKUP($A20, User!$A:$I, COLUMN(D:D), FALSE)</f>
        <v>kala@gmail.com</v>
      </c>
      <c r="H20" s="4" t="str" cm="1">
        <f t="array" ref="H20">VLOOKUP($A20, User!$A:$I, COLUMN(E:E), FALSE)</f>
        <v>Student</v>
      </c>
      <c r="I20" s="4" t="str" cm="1">
        <f t="array" ref="I20">VLOOKUP($A20, User!$A:$I, COLUMN(F:F), FALSE)</f>
        <v>PG in Data Science</v>
      </c>
      <c r="J20" s="4" t="str" cm="1">
        <f t="array" ref="J20">VLOOKUP($A20, User!$A:$I, COLUMN(G:G), FALSE)</f>
        <v>1st Year</v>
      </c>
      <c r="K20" s="4" t="str" cm="1">
        <f t="array" ref="K20">VLOOKUP($A20, User!$A:$I, COLUMN(H:H), FALSE)</f>
        <v>24-03-2024</v>
      </c>
      <c r="L20" s="4" cm="1">
        <f t="array" ref="L20">VLOOKUP($A20, User!$A:$I, COLUMN(I:I), FALSE)</f>
        <v>90</v>
      </c>
    </row>
    <row r="21" spans="1:12" x14ac:dyDescent="0.3">
      <c r="A21" s="5">
        <v>652730010</v>
      </c>
      <c r="B21" s="5" t="s">
        <v>37</v>
      </c>
      <c r="C21" s="5">
        <v>2</v>
      </c>
      <c r="D21" s="5">
        <v>4</v>
      </c>
      <c r="E21" s="5" t="str" cm="1">
        <f t="array" ref="E21">VLOOKUP($A21, User!$A:$I, COLUMN(B:B), FALSE)</f>
        <v>khusboo</v>
      </c>
      <c r="F21" s="5" cm="1">
        <f t="array" ref="F21">VLOOKUP($A21, User!$A:$I, COLUMN(C:C), FALSE)</f>
        <v>9798765273</v>
      </c>
      <c r="G21" s="5" t="str" cm="1">
        <f t="array" ref="G21">VLOOKUP($A21, User!$A:$I, COLUMN(D:D), FALSE)</f>
        <v>khusboo@gmail.com</v>
      </c>
      <c r="H21" s="5" t="str" cm="1">
        <f t="array" ref="H21">VLOOKUP($A21, User!$A:$I, COLUMN(E:E), FALSE)</f>
        <v>Management</v>
      </c>
      <c r="I21" s="5" t="str" cm="1">
        <f t="array" ref="I21">VLOOKUP($A21, User!$A:$I, COLUMN(F:F), FALSE)</f>
        <v>--</v>
      </c>
      <c r="J21" s="5" t="str" cm="1">
        <f t="array" ref="J21">VLOOKUP($A21, User!$A:$I, COLUMN(G:G), FALSE)</f>
        <v>--</v>
      </c>
      <c r="K21" s="5" t="str" cm="1">
        <f t="array" ref="K21">VLOOKUP($A21, User!$A:$I, COLUMN(H:H), FALSE)</f>
        <v>24-03-2024</v>
      </c>
      <c r="L21" s="5" cm="1">
        <f t="array" ref="L21">VLOOKUP($A21, User!$A:$I, COLUMN(I:I), FALSE)</f>
        <v>109</v>
      </c>
    </row>
    <row r="22" spans="1:12" x14ac:dyDescent="0.3">
      <c r="A22" s="4">
        <v>652730010</v>
      </c>
      <c r="B22" s="4" t="s">
        <v>68</v>
      </c>
      <c r="C22" s="4">
        <v>3</v>
      </c>
      <c r="D22" s="4">
        <v>105</v>
      </c>
      <c r="E22" s="4" t="str" cm="1">
        <f t="array" ref="E22">VLOOKUP($A22, User!$A:$I, COLUMN(B:B), FALSE)</f>
        <v>khusboo</v>
      </c>
      <c r="F22" s="4" cm="1">
        <f t="array" ref="F22">VLOOKUP($A22, User!$A:$I, COLUMN(C:C), FALSE)</f>
        <v>9798765273</v>
      </c>
      <c r="G22" s="4" t="str" cm="1">
        <f t="array" ref="G22">VLOOKUP($A22, User!$A:$I, COLUMN(D:D), FALSE)</f>
        <v>khusboo@gmail.com</v>
      </c>
      <c r="H22" s="4" t="str" cm="1">
        <f t="array" ref="H22">VLOOKUP($A22, User!$A:$I, COLUMN(E:E), FALSE)</f>
        <v>Management</v>
      </c>
      <c r="I22" s="4" t="str" cm="1">
        <f t="array" ref="I22">VLOOKUP($A22, User!$A:$I, COLUMN(F:F), FALSE)</f>
        <v>--</v>
      </c>
      <c r="J22" s="4" t="str" cm="1">
        <f t="array" ref="J22">VLOOKUP($A22, User!$A:$I, COLUMN(G:G), FALSE)</f>
        <v>--</v>
      </c>
      <c r="K22" s="4" t="str" cm="1">
        <f t="array" ref="K22">VLOOKUP($A22, User!$A:$I, COLUMN(H:H), FALSE)</f>
        <v>24-03-2024</v>
      </c>
      <c r="L22" s="4" cm="1">
        <f t="array" ref="L22">VLOOKUP($A22, User!$A:$I, COLUMN(I:I), FALSE)</f>
        <v>109</v>
      </c>
    </row>
    <row r="23" spans="1:12" x14ac:dyDescent="0.3">
      <c r="A23" s="7">
        <v>331770011</v>
      </c>
      <c r="B23" s="7" t="s">
        <v>43</v>
      </c>
      <c r="C23" s="7">
        <v>1</v>
      </c>
      <c r="D23" s="7">
        <v>25</v>
      </c>
      <c r="E23" s="7" t="str" cm="1">
        <f t="array" ref="E23">VLOOKUP($A23, User!$A:$I, COLUMN(B:B), FALSE)</f>
        <v>pavan</v>
      </c>
      <c r="F23" s="7" cm="1">
        <f t="array" ref="F23">VLOOKUP($A23, User!$A:$I, COLUMN(C:C), FALSE)</f>
        <v>9892433177</v>
      </c>
      <c r="G23" s="7" t="str" cm="1">
        <f t="array" ref="G23">VLOOKUP($A23, User!$A:$I, COLUMN(D:D), FALSE)</f>
        <v>pavan1@gmail.com</v>
      </c>
      <c r="H23" s="7" t="str" cm="1">
        <f t="array" ref="H23">VLOOKUP($A23, User!$A:$I, COLUMN(E:E), FALSE)</f>
        <v>Student</v>
      </c>
      <c r="I23" s="7" t="str" cm="1">
        <f t="array" ref="I23">VLOOKUP($A23, User!$A:$I, COLUMN(F:F), FALSE)</f>
        <v>BSc in Physics</v>
      </c>
      <c r="J23" s="7" t="str" cm="1">
        <f t="array" ref="J23">VLOOKUP($A23, User!$A:$I, COLUMN(G:G), FALSE)</f>
        <v>2nd Year</v>
      </c>
      <c r="K23" s="7" t="str" cm="1">
        <f t="array" ref="K23">VLOOKUP($A23, User!$A:$I, COLUMN(H:H), FALSE)</f>
        <v>27-03-2024</v>
      </c>
      <c r="L23" s="7" cm="1">
        <f t="array" ref="L23">VLOOKUP($A23, User!$A:$I, COLUMN(I:I), FALSE)</f>
        <v>265</v>
      </c>
    </row>
    <row r="24" spans="1:12" x14ac:dyDescent="0.3">
      <c r="A24" s="7">
        <v>331770011</v>
      </c>
      <c r="B24" s="7" t="s">
        <v>76</v>
      </c>
      <c r="C24" s="7">
        <v>2</v>
      </c>
      <c r="D24" s="7">
        <v>240</v>
      </c>
      <c r="E24" s="7" t="str" cm="1">
        <f t="array" ref="E24">VLOOKUP($A24, User!$A:$I, COLUMN(B:B), FALSE)</f>
        <v>pavan</v>
      </c>
      <c r="F24" s="7" cm="1">
        <f t="array" ref="F24">VLOOKUP($A24, User!$A:$I, COLUMN(C:C), FALSE)</f>
        <v>9892433177</v>
      </c>
      <c r="G24" s="7" t="str" cm="1">
        <f t="array" ref="G24">VLOOKUP($A24, User!$A:$I, COLUMN(D:D), FALSE)</f>
        <v>pavan1@gmail.com</v>
      </c>
      <c r="H24" s="7" t="str" cm="1">
        <f t="array" ref="H24">VLOOKUP($A24, User!$A:$I, COLUMN(E:E), FALSE)</f>
        <v>Student</v>
      </c>
      <c r="I24" s="7" t="str" cm="1">
        <f t="array" ref="I24">VLOOKUP($A24, User!$A:$I, COLUMN(F:F), FALSE)</f>
        <v>BSc in Physics</v>
      </c>
      <c r="J24" s="7" t="str" cm="1">
        <f t="array" ref="J24">VLOOKUP($A24, User!$A:$I, COLUMN(G:G), FALSE)</f>
        <v>2nd Year</v>
      </c>
      <c r="K24" s="7" t="str" cm="1">
        <f t="array" ref="K24">VLOOKUP($A24, User!$A:$I, COLUMN(H:H), FALSE)</f>
        <v>27-03-2024</v>
      </c>
      <c r="L24" s="7" cm="1">
        <f t="array" ref="L24">VLOOKUP($A24, User!$A:$I, COLUMN(I:I), FALSE)</f>
        <v>265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B113E-C635-44F5-A527-F4CFE528C7DF}">
  <sheetPr codeName="Sheet7"/>
  <dimension ref="A1:E13"/>
  <sheetViews>
    <sheetView zoomScale="85" workbookViewId="0">
      <selection activeCell="G13" sqref="G13"/>
    </sheetView>
  </sheetViews>
  <sheetFormatPr defaultRowHeight="14.4" x14ac:dyDescent="0.3"/>
  <cols>
    <col min="1" max="1" width="12.5546875" bestFit="1" customWidth="1"/>
    <col min="2" max="2" width="14.77734375" bestFit="1" customWidth="1"/>
    <col min="3" max="3" width="17.6640625" bestFit="1" customWidth="1"/>
    <col min="4" max="4" width="10.6640625" bestFit="1" customWidth="1"/>
    <col min="5" max="5" width="21.5546875" bestFit="1" customWidth="1"/>
    <col min="6" max="6" width="9.33203125" bestFit="1" customWidth="1"/>
    <col min="7" max="7" width="11.88671875" bestFit="1" customWidth="1"/>
    <col min="8" max="8" width="13.88671875" bestFit="1" customWidth="1"/>
    <col min="9" max="9" width="9.6640625" bestFit="1" customWidth="1"/>
    <col min="10" max="10" width="15.44140625" bestFit="1" customWidth="1"/>
    <col min="11" max="11" width="16.21875" bestFit="1" customWidth="1"/>
    <col min="12" max="12" width="9.33203125" bestFit="1" customWidth="1"/>
    <col min="13" max="13" width="4" bestFit="1" customWidth="1"/>
    <col min="14" max="14" width="8.44140625" bestFit="1" customWidth="1"/>
    <col min="15" max="15" width="9.33203125" bestFit="1" customWidth="1"/>
    <col min="16" max="16" width="8.6640625" bestFit="1" customWidth="1"/>
    <col min="17" max="17" width="10.77734375" bestFit="1" customWidth="1"/>
  </cols>
  <sheetData>
    <row r="1" spans="1:5" x14ac:dyDescent="0.3">
      <c r="A1" t="s">
        <v>12</v>
      </c>
      <c r="B1" t="s">
        <v>29</v>
      </c>
      <c r="D1" t="s">
        <v>15</v>
      </c>
      <c r="E1" s="1">
        <v>45375.838842592595</v>
      </c>
    </row>
    <row r="2" spans="1:5" x14ac:dyDescent="0.3">
      <c r="A2" t="s">
        <v>13</v>
      </c>
      <c r="B2" t="s">
        <v>69</v>
      </c>
    </row>
    <row r="3" spans="1:5" x14ac:dyDescent="0.3">
      <c r="A3" t="s">
        <v>14</v>
      </c>
      <c r="B3">
        <v>9920756123</v>
      </c>
    </row>
    <row r="5" spans="1:5" x14ac:dyDescent="0.3">
      <c r="A5" s="2" t="s">
        <v>7</v>
      </c>
      <c r="B5" t="s">
        <v>18</v>
      </c>
    </row>
    <row r="7" spans="1:5" x14ac:dyDescent="0.3">
      <c r="B7" s="2" t="s">
        <v>71</v>
      </c>
    </row>
    <row r="8" spans="1:5" x14ac:dyDescent="0.3">
      <c r="A8" s="2" t="s">
        <v>16</v>
      </c>
      <c r="B8" t="s">
        <v>70</v>
      </c>
      <c r="C8" t="s">
        <v>19</v>
      </c>
    </row>
    <row r="9" spans="1:5" x14ac:dyDescent="0.3">
      <c r="A9" s="3" t="s">
        <v>46</v>
      </c>
      <c r="B9">
        <v>175</v>
      </c>
      <c r="C9">
        <v>455</v>
      </c>
    </row>
    <row r="10" spans="1:5" x14ac:dyDescent="0.3">
      <c r="A10" s="3" t="s">
        <v>20</v>
      </c>
      <c r="B10">
        <v>49.666666666666664</v>
      </c>
      <c r="C10">
        <v>86</v>
      </c>
    </row>
    <row r="11" spans="1:5" x14ac:dyDescent="0.3">
      <c r="A11" s="3" t="s">
        <v>56</v>
      </c>
      <c r="B11">
        <v>120</v>
      </c>
      <c r="C11">
        <v>120</v>
      </c>
    </row>
    <row r="12" spans="1:5" x14ac:dyDescent="0.3">
      <c r="A12" s="3" t="s">
        <v>23</v>
      </c>
      <c r="B12">
        <v>86.92307692307692</v>
      </c>
      <c r="C12">
        <v>229.23076923076923</v>
      </c>
    </row>
    <row r="13" spans="1:5" x14ac:dyDescent="0.3">
      <c r="A13" s="3" t="s">
        <v>17</v>
      </c>
      <c r="B13">
        <v>99.952380952380949</v>
      </c>
      <c r="C13">
        <v>246.57142857142858</v>
      </c>
    </row>
  </sheetData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User</vt:lpstr>
      <vt:lpstr>Item</vt:lpstr>
      <vt:lpstr>Combine</vt:lpstr>
      <vt:lpstr>PivotSheet1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Naksh sonigara</dc:creator>
  <cp:lastModifiedBy>Naksh sonigara</cp:lastModifiedBy>
  <cp:lastPrinted>2024-03-27T04:47:39Z</cp:lastPrinted>
  <dcterms:created xsi:type="dcterms:W3CDTF">2024-03-19T04:52:05Z</dcterms:created>
  <dcterms:modified xsi:type="dcterms:W3CDTF">2024-03-27T05:06:01Z</dcterms:modified>
</cp:coreProperties>
</file>